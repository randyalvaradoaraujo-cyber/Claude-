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tables/table7.xml" ContentType="application/vnd.openxmlformats-officedocument.spreadsheetml.table+xml"/>
  <Override PartName="/xl/worksheets/sheet3.xml" ContentType="application/vnd.openxmlformats-officedocument.spreadsheetml.worksheet+xml"/>
  <Override PartName="/xl/tables/table8.xml" ContentType="application/vnd.openxmlformats-officedocument.spreadsheetml.table+xml"/>
  <Override PartName="/xl/worksheets/sheet4.xml" ContentType="application/vnd.openxmlformats-officedocument.spreadsheetml.worksheet+xml"/>
  <Override PartName="/xl/tables/table9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rategia" sheetId="1" state="visible" r:id="rId1"/>
    <sheet name="Progreso" sheetId="2" state="visible" r:id="rId2"/>
    <sheet name="Calendario" sheetId="3" state="visible" r:id="rId3"/>
    <sheet name="Preguntas" sheetId="4" state="visible" r:id="rId4"/>
  </sheets>
  <definedNames>
    <definedName name="H_TEMA_NUEVO">Estrategia!$C$3</definedName>
    <definedName name="H_REPASO">Estrategia!$C$4</definedName>
    <definedName name="H_SIMULACRO">Estrategia!$C$5</definedName>
    <definedName name="DIAS_ESTUDIO">Progreso!$M$2:$M$5</definedName>
    <definedName name="INTERVALOS">Progreso!$M$9:$M$17</definedName>
    <definedName name="DIAS_SEMANA">Progreso!$O$2:$O$8</definedName>
    <definedName name="DESPLAZAMIENTO">Progreso!$P$2:$P$8</definedName>
    <definedName name="ESTADO_EXITO">Progreso!$AN$1</definedName>
    <definedName name="ESTADO_FALLO">Progreso!$AN$2</definedName>
    <definedName name="DIAS_POR_SEMANA">Progreso!$AN$4</definedName>
    <definedName name="VENTANA_PROXIMA">Progreso!$AN$5</definedName>
    <definedName name="HOY">Calendario!$B$2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mmmm yyyy"/>
    <numFmt numFmtId="166" formatCode="d"/>
  </numFmts>
  <fonts count="9">
    <font>
      <name val="Arial"/>
      <sz val="10"/>
    </font>
    <font>
      <name val="Arial"/>
      <sz val="10"/>
    </font>
    <font>
      <name val="Arial"/>
      <color rgb="00FFFFFF"/>
      <sz val="10"/>
    </font>
    <font>
      <name val="Arial"/>
      <color rgb="00000000"/>
      <sz val="10"/>
    </font>
    <font>
      <name val="Arial"/>
      <color rgb="00EFEFE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6"/>
    </font>
    <font>
      <name val="Arial"/>
      <b val="1"/>
      <color rgb="0038761D"/>
      <sz val="16"/>
    </font>
  </fonts>
  <fills count="11">
    <fill>
      <patternFill/>
    </fill>
    <fill>
      <patternFill patternType="gray125"/>
    </fill>
    <fill>
      <patternFill patternType="solid">
        <fgColor rgb="000B5C39"/>
      </patternFill>
    </fill>
    <fill>
      <patternFill patternType="solid">
        <fgColor rgb="00FFFFFF"/>
      </patternFill>
    </fill>
    <fill>
      <patternFill patternType="solid">
        <fgColor rgb="00F0F4F1"/>
      </patternFill>
    </fill>
    <fill>
      <patternFill patternType="solid">
        <fgColor rgb="00F1F3F4"/>
      </patternFill>
    </fill>
    <fill>
      <patternFill patternType="solid">
        <fgColor rgb="00EFEFEF"/>
      </patternFill>
    </fill>
    <fill>
      <patternFill patternType="solid">
        <fgColor rgb="00A61C00"/>
      </patternFill>
    </fill>
    <fill>
      <patternFill patternType="solid">
        <fgColor rgb="00C8E6C9"/>
      </patternFill>
    </fill>
    <fill>
      <patternFill patternType="solid">
        <fgColor rgb="00E2F0E4"/>
      </patternFill>
    </fill>
    <fill>
      <patternFill patternType="solid">
        <fgColor rgb="00F6D9D5"/>
      </patternFill>
    </fill>
  </fills>
  <borders count="32">
    <border>
      <left/>
      <right/>
      <top/>
      <bottom/>
      <diagonal/>
    </border>
    <border>
      <left/>
      <right style="thin">
        <color rgb="00A61C00"/>
      </right>
      <top/>
      <bottom/>
    </border>
    <border>
      <left style="thin">
        <color rgb="00A61C00"/>
      </left>
      <right/>
      <top/>
      <bottom/>
    </border>
    <border>
      <left/>
      <right style="thin">
        <color rgb="00A61C00"/>
      </right>
      <top/>
      <bottom style="thin">
        <color rgb="00A61C00"/>
      </bottom>
    </border>
    <border>
      <left/>
      <right/>
      <top style="thin">
        <color rgb="00A61C00"/>
      </top>
      <bottom/>
    </border>
    <border>
      <left style="thin">
        <color rgb="00A61C00"/>
      </left>
      <right style="thin">
        <color rgb="00A61C00"/>
      </right>
      <top/>
      <bottom/>
    </border>
    <border>
      <left style="thin">
        <color rgb="00A61C00"/>
      </left>
      <right/>
      <top style="thin">
        <color rgb="00A61C00"/>
      </top>
      <bottom/>
    </border>
    <border>
      <left style="thin">
        <color rgb="00A61C00"/>
      </left>
      <right style="thin">
        <color rgb="00A61C00"/>
      </right>
      <top/>
      <bottom style="thin">
        <color rgb="00A61C00"/>
      </bottom>
    </border>
    <border>
      <left style="thin">
        <color rgb="00A61C00"/>
      </left>
      <right style="thin">
        <color rgb="001C4587"/>
      </right>
      <top/>
      <bottom/>
    </border>
    <border>
      <left style="thin">
        <color rgb="001C4587"/>
      </left>
      <right/>
      <top/>
      <bottom/>
    </border>
    <border>
      <left style="thin">
        <color rgb="00A61C00"/>
      </left>
      <right style="thin">
        <color rgb="001C4587"/>
      </right>
      <top/>
      <bottom style="thin">
        <color rgb="001C4587"/>
      </bottom>
    </border>
    <border>
      <left/>
      <right/>
      <top style="thin">
        <color rgb="001C4587"/>
      </top>
      <bottom/>
    </border>
    <border>
      <left style="thin">
        <color rgb="00A61C00"/>
      </left>
      <right style="thin">
        <color rgb="001C4587"/>
      </right>
      <top style="thin">
        <color rgb="00A61C00"/>
      </top>
      <bottom/>
    </border>
    <border>
      <left style="thin">
        <color rgb="001C4587"/>
      </left>
      <right/>
      <top style="thin">
        <color rgb="001C4587"/>
      </top>
      <bottom/>
    </border>
    <border>
      <left/>
      <right style="thin">
        <color rgb="001C4587"/>
      </right>
      <top/>
      <bottom/>
    </border>
    <border>
      <left style="thin">
        <color rgb="001C4587"/>
      </left>
      <right/>
      <top style="thin">
        <color rgb="00A61C00"/>
      </top>
      <bottom/>
    </border>
    <border>
      <left/>
      <right style="thin">
        <color rgb="001C4587"/>
      </right>
      <top/>
      <bottom style="thin">
        <color rgb="001C4587"/>
      </bottom>
    </border>
    <border>
      <left style="thin">
        <color rgb="001C4587"/>
      </left>
      <right style="thin">
        <color rgb="001C4587"/>
      </right>
      <top/>
      <bottom/>
    </border>
    <border>
      <left style="thin">
        <color rgb="001C4587"/>
      </left>
      <right style="thin">
        <color rgb="001C4587"/>
      </right>
      <top/>
      <bottom style="thin">
        <color rgb="001C4587"/>
      </bottom>
    </border>
    <border>
      <left style="thin">
        <color rgb="001C4587"/>
      </left>
      <right style="thin">
        <color rgb="001C4587"/>
      </right>
      <top style="thin">
        <color rgb="001C4587"/>
      </top>
      <bottom/>
    </border>
    <border>
      <left style="thin">
        <color rgb="001C4587"/>
      </left>
      <right/>
      <top style="thin">
        <color rgb="001C4587"/>
      </top>
      <bottom style="thin">
        <color rgb="001C4587"/>
      </bottom>
    </border>
    <border>
      <left/>
      <right/>
      <top style="thin">
        <color rgb="001C4587"/>
      </top>
      <bottom style="thin">
        <color rgb="001C4587"/>
      </bottom>
    </border>
    <border>
      <left style="thin">
        <color rgb="001C4587"/>
      </left>
      <right style="thin">
        <color rgb="0038761D"/>
      </right>
      <top style="thin">
        <color rgb="001C4587"/>
      </top>
      <bottom/>
    </border>
    <border>
      <left style="thin">
        <color rgb="0038761D"/>
      </left>
      <right/>
      <top/>
      <bottom/>
    </border>
    <border>
      <left style="thin">
        <color rgb="001C4587"/>
      </left>
      <right style="thin">
        <color rgb="0038761D"/>
      </right>
      <top style="thin">
        <color rgb="001C4587"/>
      </top>
      <bottom style="thin">
        <color rgb="0038761D"/>
      </bottom>
    </border>
    <border>
      <left style="thin">
        <color rgb="001C4587"/>
      </left>
      <right/>
      <top style="thin">
        <color rgb="0038761D"/>
      </top>
      <bottom/>
    </border>
    <border>
      <left/>
      <right style="thin">
        <color rgb="0038761D"/>
      </right>
      <top/>
      <bottom/>
    </border>
    <border>
      <left style="thin">
        <color rgb="0038761D"/>
      </left>
      <right/>
      <top style="thin">
        <color rgb="001C4587"/>
      </top>
      <bottom/>
    </border>
    <border>
      <left/>
      <right style="thin">
        <color rgb="0038761D"/>
      </right>
      <top style="thin">
        <color rgb="001C4587"/>
      </top>
      <bottom/>
    </border>
    <border>
      <left style="thin">
        <color rgb="0038761D"/>
      </left>
      <right/>
      <top/>
      <bottom style="thin">
        <color rgb="0038761D"/>
      </bottom>
    </border>
    <border>
      <left/>
      <right/>
      <top style="thin">
        <color rgb="0038761D"/>
      </top>
      <bottom/>
    </border>
    <border>
      <left/>
      <right style="thin">
        <color rgb="0038761D"/>
      </right>
      <top/>
      <bottom style="thin">
        <color rgb="0038761D"/>
      </bottom>
    </border>
  </borders>
  <cellStyleXfs count="1">
    <xf numFmtId="0" fontId="1" fillId="0" borderId="0"/>
  </cellStyleXfs>
  <cellXfs count="108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0" fontId="5" fillId="8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left" vertical="center"/>
    </xf>
    <xf numFmtId="0" fontId="3" fillId="9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3" fillId="5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left" vertical="center"/>
    </xf>
    <xf numFmtId="0" fontId="3" fillId="6" borderId="0" applyAlignment="1" pivotButton="0" quotePrefix="0" xfId="0">
      <alignment horizontal="left" vertical="center"/>
    </xf>
    <xf numFmtId="0" fontId="2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left" vertical="center"/>
    </xf>
    <xf numFmtId="0" fontId="3" fillId="1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164" fontId="3" fillId="3" borderId="2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3" borderId="8" applyAlignment="1" pivotButton="0" quotePrefix="0" xfId="0">
      <alignment horizontal="right" vertical="center"/>
    </xf>
    <xf numFmtId="164" fontId="3" fillId="3" borderId="17" applyAlignment="1" pivotButton="0" quotePrefix="0" xfId="0">
      <alignment horizontal="right" vertical="center"/>
    </xf>
    <xf numFmtId="164" fontId="3" fillId="3" borderId="9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9" fontId="3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164" fontId="3" fillId="4" borderId="3" applyAlignment="1" pivotButton="0" quotePrefix="0" xfId="0">
      <alignment horizontal="right" vertical="center"/>
    </xf>
    <xf numFmtId="164" fontId="3" fillId="4" borderId="10" applyAlignment="1" pivotButton="0" quotePrefix="0" xfId="0">
      <alignment horizontal="right" vertical="center"/>
    </xf>
    <xf numFmtId="164" fontId="3" fillId="4" borderId="18" applyAlignment="1" pivotButton="0" quotePrefix="0" xfId="0">
      <alignment horizontal="right" vertical="center"/>
    </xf>
    <xf numFmtId="164" fontId="3" fillId="4" borderId="9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3" fillId="3" borderId="7" applyAlignment="1" pivotButton="0" quotePrefix="0" xfId="0">
      <alignment horizontal="right" vertical="center"/>
    </xf>
    <xf numFmtId="164" fontId="3" fillId="3" borderId="12" applyAlignment="1" pivotButton="0" quotePrefix="0" xfId="0">
      <alignment horizontal="right" vertical="center"/>
    </xf>
    <xf numFmtId="164" fontId="3" fillId="3" borderId="19" applyAlignment="1" pivotButton="0" quotePrefix="0" xfId="0">
      <alignment horizontal="right" vertical="center"/>
    </xf>
    <xf numFmtId="0" fontId="3" fillId="4" borderId="14" applyAlignment="1" pivotButton="0" quotePrefix="0" xfId="0">
      <alignment horizontal="left" vertical="center"/>
    </xf>
    <xf numFmtId="164" fontId="3" fillId="4" borderId="15" applyAlignment="1" pivotButton="0" quotePrefix="0" xfId="0">
      <alignment horizontal="right" vertical="center"/>
    </xf>
    <xf numFmtId="164" fontId="3" fillId="4" borderId="16" applyAlignment="1" pivotButton="0" quotePrefix="0" xfId="0">
      <alignment horizontal="right" vertical="center"/>
    </xf>
    <xf numFmtId="0" fontId="3" fillId="3" borderId="14" applyAlignment="1" pivotButton="0" quotePrefix="0" xfId="0">
      <alignment horizontal="left" vertical="center"/>
    </xf>
    <xf numFmtId="164" fontId="3" fillId="3" borderId="18" applyAlignment="1" pivotButton="0" quotePrefix="0" xfId="0">
      <alignment horizontal="right" vertical="center"/>
    </xf>
    <xf numFmtId="164" fontId="3" fillId="3" borderId="24" applyAlignment="1" pivotButton="0" quotePrefix="0" xfId="0">
      <alignment horizontal="right" vertical="center"/>
    </xf>
    <xf numFmtId="164" fontId="3" fillId="3" borderId="23" applyAlignment="1" pivotButton="0" quotePrefix="0" xfId="0">
      <alignment horizontal="right" vertical="center"/>
    </xf>
    <xf numFmtId="164" fontId="3" fillId="4" borderId="20" applyAlignment="1" pivotButton="0" quotePrefix="0" xfId="0">
      <alignment horizontal="right" vertical="center"/>
    </xf>
    <xf numFmtId="164" fontId="3" fillId="4" borderId="17" applyAlignment="1" pivotButton="0" quotePrefix="0" xfId="0">
      <alignment horizontal="right" vertical="center"/>
    </xf>
    <xf numFmtId="164" fontId="3" fillId="4" borderId="25" applyAlignment="1" pivotButton="0" quotePrefix="0" xfId="0">
      <alignment horizontal="right" vertical="center"/>
    </xf>
    <xf numFmtId="164" fontId="3" fillId="3" borderId="20" applyAlignment="1" pivotButton="0" quotePrefix="0" xfId="0">
      <alignment horizontal="right" vertical="center"/>
    </xf>
    <xf numFmtId="164" fontId="3" fillId="3" borderId="21" applyAlignment="1" pivotButton="0" quotePrefix="0" xfId="0">
      <alignment horizontal="right" vertical="center"/>
    </xf>
    <xf numFmtId="164" fontId="3" fillId="3" borderId="16" applyAlignment="1" pivotButton="0" quotePrefix="0" xfId="0">
      <alignment horizontal="right" vertical="center"/>
    </xf>
    <xf numFmtId="0" fontId="3" fillId="4" borderId="26" applyAlignment="1" pivotButton="0" quotePrefix="0" xfId="0">
      <alignment horizontal="left" vertical="center"/>
    </xf>
    <xf numFmtId="164" fontId="3" fillId="4" borderId="27" applyAlignment="1" pivotButton="0" quotePrefix="0" xfId="0">
      <alignment horizontal="right" vertical="center"/>
    </xf>
    <xf numFmtId="164" fontId="3" fillId="4" borderId="28" applyAlignment="1" pivotButton="0" quotePrefix="0" xfId="0">
      <alignment horizontal="right" vertical="center"/>
    </xf>
    <xf numFmtId="0" fontId="3" fillId="3" borderId="26" applyAlignment="1" pivotButton="0" quotePrefix="0" xfId="0">
      <alignment horizontal="left" vertical="center"/>
    </xf>
    <xf numFmtId="164" fontId="3" fillId="3" borderId="29" applyAlignment="1" pivotButton="0" quotePrefix="0" xfId="0">
      <alignment horizontal="right" vertical="center"/>
    </xf>
    <xf numFmtId="164" fontId="3" fillId="3" borderId="31" applyAlignment="1" pivotButton="0" quotePrefix="0" xfId="0">
      <alignment horizontal="right" vertical="center"/>
    </xf>
    <xf numFmtId="164" fontId="3" fillId="4" borderId="30" applyAlignment="1" pivotButton="0" quotePrefix="0" xfId="0">
      <alignment horizontal="right" vertical="center"/>
    </xf>
    <xf numFmtId="0" fontId="3" fillId="8" borderId="0" applyAlignment="1" pivotButton="0" quotePrefix="0" xfId="0">
      <alignment horizontal="left" vertical="center"/>
    </xf>
    <xf numFmtId="9" fontId="7" fillId="9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1" fontId="8" fillId="9" borderId="0" applyAlignment="1" pivotButton="0" quotePrefix="0" xfId="0">
      <alignment horizontal="center" vertical="center"/>
    </xf>
    <xf numFmtId="1" fontId="7" fillId="9" borderId="0" applyAlignment="1" pivotButton="0" quotePrefix="0" xfId="0">
      <alignment horizontal="center" vertical="center"/>
    </xf>
    <xf numFmtId="164" fontId="5" fillId="9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left" vertical="center"/>
    </xf>
    <xf numFmtId="1" fontId="5" fillId="9" borderId="0" applyAlignment="1" pivotButton="0" quotePrefix="0" xfId="0">
      <alignment horizontal="right" vertical="center"/>
    </xf>
    <xf numFmtId="0" fontId="5" fillId="9" borderId="0" applyAlignment="1" pivotButton="0" quotePrefix="0" xfId="0">
      <alignment horizontal="center" vertical="center"/>
    </xf>
    <xf numFmtId="166" fontId="3" fillId="3" borderId="0" applyAlignment="1" pivotButton="0" quotePrefix="0" xfId="0">
      <alignment horizontal="center" vertical="center"/>
    </xf>
    <xf numFmtId="1" fontId="3" fillId="3" borderId="0" applyAlignment="1" pivotButton="0" quotePrefix="0" xfId="0">
      <alignment horizontal="right" vertical="center"/>
    </xf>
    <xf numFmtId="1" fontId="3" fillId="4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top" wrapText="1"/>
    </xf>
    <xf numFmtId="164" fontId="3" fillId="3" borderId="2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3" fillId="3" borderId="8" applyAlignment="1" pivotButton="0" quotePrefix="0" xfId="0">
      <alignment horizontal="right" vertical="center"/>
    </xf>
    <xf numFmtId="164" fontId="3" fillId="3" borderId="17" applyAlignment="1" pivotButton="0" quotePrefix="0" xfId="0">
      <alignment horizontal="right" vertical="center"/>
    </xf>
    <xf numFmtId="164" fontId="3" fillId="3" borderId="9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164" fontId="3" fillId="0" borderId="0" applyAlignment="1" pivotButton="0" quotePrefix="0" xfId="0">
      <alignment horizontal="right" vertical="center"/>
    </xf>
    <xf numFmtId="164" fontId="3" fillId="4" borderId="2" applyAlignment="1" pivotButton="0" quotePrefix="0" xfId="0">
      <alignment horizontal="right" vertical="center"/>
    </xf>
    <xf numFmtId="164" fontId="3" fillId="4" borderId="3" applyAlignment="1" pivotButton="0" quotePrefix="0" xfId="0">
      <alignment horizontal="right" vertical="center"/>
    </xf>
    <xf numFmtId="164" fontId="3" fillId="4" borderId="10" applyAlignment="1" pivotButton="0" quotePrefix="0" xfId="0">
      <alignment horizontal="right" vertical="center"/>
    </xf>
    <xf numFmtId="164" fontId="3" fillId="4" borderId="18" applyAlignment="1" pivotButton="0" quotePrefix="0" xfId="0">
      <alignment horizontal="right" vertical="center"/>
    </xf>
    <xf numFmtId="164" fontId="3" fillId="4" borderId="9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164" fontId="3" fillId="3" borderId="7" applyAlignment="1" pivotButton="0" quotePrefix="0" xfId="0">
      <alignment horizontal="right" vertical="center"/>
    </xf>
    <xf numFmtId="164" fontId="3" fillId="3" borderId="12" applyAlignment="1" pivotButton="0" quotePrefix="0" xfId="0">
      <alignment horizontal="right" vertical="center"/>
    </xf>
    <xf numFmtId="164" fontId="3" fillId="3" borderId="19" applyAlignment="1" pivotButton="0" quotePrefix="0" xfId="0">
      <alignment horizontal="right" vertical="center"/>
    </xf>
    <xf numFmtId="164" fontId="3" fillId="4" borderId="15" applyAlignment="1" pivotButton="0" quotePrefix="0" xfId="0">
      <alignment horizontal="right" vertical="center"/>
    </xf>
    <xf numFmtId="164" fontId="3" fillId="4" borderId="16" applyAlignment="1" pivotButton="0" quotePrefix="0" xfId="0">
      <alignment horizontal="right" vertical="center"/>
    </xf>
    <xf numFmtId="164" fontId="3" fillId="3" borderId="18" applyAlignment="1" pivotButton="0" quotePrefix="0" xfId="0">
      <alignment horizontal="right" vertical="center"/>
    </xf>
    <xf numFmtId="164" fontId="3" fillId="3" borderId="24" applyAlignment="1" pivotButton="0" quotePrefix="0" xfId="0">
      <alignment horizontal="right" vertical="center"/>
    </xf>
    <xf numFmtId="164" fontId="3" fillId="3" borderId="23" applyAlignment="1" pivotButton="0" quotePrefix="0" xfId="0">
      <alignment horizontal="right" vertical="center"/>
    </xf>
    <xf numFmtId="164" fontId="3" fillId="4" borderId="20" applyAlignment="1" pivotButton="0" quotePrefix="0" xfId="0">
      <alignment horizontal="right" vertical="center"/>
    </xf>
    <xf numFmtId="164" fontId="3" fillId="4" borderId="17" applyAlignment="1" pivotButton="0" quotePrefix="0" xfId="0">
      <alignment horizontal="right" vertical="center"/>
    </xf>
    <xf numFmtId="164" fontId="3" fillId="4" borderId="25" applyAlignment="1" pivotButton="0" quotePrefix="0" xfId="0">
      <alignment horizontal="right" vertical="center"/>
    </xf>
    <xf numFmtId="164" fontId="3" fillId="3" borderId="20" applyAlignment="1" pivotButton="0" quotePrefix="0" xfId="0">
      <alignment horizontal="right" vertical="center"/>
    </xf>
    <xf numFmtId="164" fontId="3" fillId="3" borderId="21" applyAlignment="1" pivotButton="0" quotePrefix="0" xfId="0">
      <alignment horizontal="right" vertical="center"/>
    </xf>
    <xf numFmtId="164" fontId="3" fillId="3" borderId="16" applyAlignment="1" pivotButton="0" quotePrefix="0" xfId="0">
      <alignment horizontal="right" vertical="center"/>
    </xf>
    <xf numFmtId="164" fontId="3" fillId="4" borderId="27" applyAlignment="1" pivotButton="0" quotePrefix="0" xfId="0">
      <alignment horizontal="right" vertical="center"/>
    </xf>
    <xf numFmtId="164" fontId="3" fillId="4" borderId="28" applyAlignment="1" pivotButton="0" quotePrefix="0" xfId="0">
      <alignment horizontal="right" vertical="center"/>
    </xf>
    <xf numFmtId="164" fontId="3" fillId="3" borderId="29" applyAlignment="1" pivotButton="0" quotePrefix="0" xfId="0">
      <alignment horizontal="right" vertical="center"/>
    </xf>
    <xf numFmtId="164" fontId="3" fillId="3" borderId="31" applyAlignment="1" pivotButton="0" quotePrefix="0" xfId="0">
      <alignment horizontal="right" vertical="center"/>
    </xf>
    <xf numFmtId="164" fontId="3" fillId="4" borderId="30" applyAlignment="1" pivotButton="0" quotePrefix="0" xfId="0">
      <alignment horizontal="right" vertical="center"/>
    </xf>
    <xf numFmtId="164" fontId="5" fillId="9" borderId="0" applyAlignment="1" pivotButton="0" quotePrefix="0" xfId="0">
      <alignment horizontal="right" vertical="center"/>
    </xf>
    <xf numFmtId="165" fontId="5" fillId="8" borderId="0" applyAlignment="1" pivotButton="0" quotePrefix="0" xfId="0">
      <alignment horizontal="left" vertical="center"/>
    </xf>
    <xf numFmtId="166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dxfs count="11">
    <dxf>
      <font>
        <name val="Arial"/>
        <b val="1"/>
        <color rgb="0038761D"/>
        <sz val="16"/>
      </font>
    </dxf>
    <dxf>
      <font>
        <name val="Arial"/>
        <b val="1"/>
        <color rgb="00B45F06"/>
        <sz val="16"/>
      </font>
    </dxf>
    <dxf>
      <font>
        <name val="Arial"/>
        <b val="1"/>
        <color rgb="00A61C00"/>
        <sz val="16"/>
      </font>
    </dxf>
    <dxf>
      <font>
        <name val="Arial"/>
        <b val="1"/>
        <color rgb="00A61C00"/>
        <sz val="10"/>
      </font>
    </dxf>
    <dxf>
      <font>
        <name val="Arial"/>
        <b val="1"/>
        <color rgb="0038761D"/>
        <sz val="10"/>
      </font>
    </dxf>
    <dxf>
      <fill>
        <patternFill patternType="solid">
          <fgColor rgb="007CC49A"/>
        </patternFill>
      </fill>
    </dxf>
    <dxf>
      <fill>
        <patternFill patternType="solid">
          <fgColor rgb="00E6F2EA"/>
        </patternFill>
      </fill>
    </dxf>
    <dxf>
      <font>
        <name val="Arial"/>
        <color rgb="00A61C00"/>
        <sz val="10"/>
      </font>
      <fill>
        <patternFill patternType="solid">
          <fgColor rgb="00F4C7C3"/>
        </patternFill>
      </fill>
    </dxf>
    <dxf>
      <font>
        <name val="Arial"/>
        <color rgb="001C4587"/>
        <sz val="10"/>
      </font>
      <fill>
        <patternFill patternType="solid">
          <fgColor rgb="00C9DAF8"/>
        </patternFill>
      </fill>
    </dxf>
    <dxf>
      <font>
        <name val="Arial"/>
        <color rgb="00B45F06"/>
        <sz val="10"/>
      </font>
      <fill>
        <patternFill patternType="solid">
          <fgColor rgb="00FCE5CD"/>
        </patternFill>
      </fill>
    </dxf>
    <dxf>
      <fill>
        <patternFill patternType="solid">
          <fgColor rgb="00F1F3F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📈 Curva de dominio — retención por semana</a:t>
            </a:r>
          </a:p>
        </rich>
      </tx>
    </title>
    <plotArea>
      <lineChart>
        <grouping val="standard"/>
        <ser>
          <idx val="0"/>
          <order val="0"/>
          <tx>
            <strRef>
              <f>'Progreso'!AU1</f>
            </strRef>
          </tx>
          <spPr>
            <a:ln w="28000">
              <a:solidFill>
                <a:srgbClr val="38761D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'Progreso'!$AU$2:$AU$35</f>
            </numRef>
          </val>
          <smooth val="1"/>
        </ser>
        <ser>
          <idx val="1"/>
          <order val="1"/>
          <tx>
            <strRef>
              <f>'Progreso'!AX1</f>
            </strRef>
          </tx>
          <spPr>
            <a:ln w="12700">
              <a:solidFill>
                <a:srgbClr val="9AA0A6"/>
              </a:solidFill>
              <a:prstDash val="dash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'Progreso'!$AX$2:$AX$35</f>
            </numRef>
          </val>
          <smooth val="1"/>
        </ser>
        <axId val="10"/>
        <axId val="100"/>
      </lineChart>
      <lineChart>
        <grouping val="standard"/>
        <ser>
          <idx val="2"/>
          <order val="2"/>
          <tx>
            <strRef>
              <f>'Progreso'!AW1</f>
            </strRef>
          </tx>
          <spPr>
            <a:ln w="19050">
              <a:solidFill>
                <a:srgbClr val="1C458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'Progreso'!$AW$2:$AW$35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Semana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Tasa de éxito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Sesiones acumuladas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Proyecto ATENEO</author>
  </authors>
  <commentList>
    <comment ref="B1" authorId="0" shapeId="0">
      <text>
        <t>Sesión 1 es la única celda de entrada manual de cada tema: se escribe la fecha en que se estudió el tema por primera vez. Las sesiones 2 a 10 son fórmulas que proponen la fecha siguiente y pueden sobrescribirse. Por eso esta columna mezcla valores escritos con filas de fórmulas: es una excepción de diseño, no un valor pegado por error.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45</row>
      <rowOff>0</rowOff>
    </from>
    <ext cx="8640000" cy="34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a_1" displayName="Tabla_1" ref="B2:C5" headerRowCount="1">
  <autoFilter ref="B2:C5"/>
  <tableColumns count="2">
    <tableColumn id="2" name="Columna 1"/>
    <tableColumn id="3" name="Hora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Semanas_1_a_8" displayName="Semanas_1_a_8" ref="A7:I11" headerRowCount="1">
  <autoFilter ref="A7:I11"/>
  <tableColumns count="9">
    <tableColumn id="1" name="Tarea"/>
    <tableColumn id="2" name="Semana 1"/>
    <tableColumn id="3" name="Semana 2"/>
    <tableColumn id="4" name="Semana 3"/>
    <tableColumn id="5" name="Semana 4"/>
    <tableColumn id="6" name="Semana 5"/>
    <tableColumn id="7" name="Semana 6"/>
    <tableColumn id="8" name="Semana 7"/>
    <tableColumn id="9" name="Semana 8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Semanas_9_a_16" displayName="Semanas_9_a_16" ref="A13:I17" headerRowCount="1">
  <autoFilter ref="A13:I17"/>
  <tableColumns count="9">
    <tableColumn id="1" name="Tarea"/>
    <tableColumn id="2" name="Semana 9"/>
    <tableColumn id="3" name="Semana 10"/>
    <tableColumn id="4" name="Semana 11"/>
    <tableColumn id="5" name="Semana 12"/>
    <tableColumn id="6" name="Semana 13"/>
    <tableColumn id="7" name="Semana 14"/>
    <tableColumn id="8" name="Semana 15"/>
    <tableColumn id="9" name="Semana 1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Semanas_17_a_24" displayName="Semanas_17_a_24" ref="A19:I23" headerRowCount="1">
  <autoFilter ref="A19:I23"/>
  <tableColumns count="9">
    <tableColumn id="1" name="Tarea"/>
    <tableColumn id="2" name="Semana 17"/>
    <tableColumn id="3" name="Semana 18"/>
    <tableColumn id="4" name="Semana 19"/>
    <tableColumn id="5" name="Semana 20"/>
    <tableColumn id="6" name="Semana 21"/>
    <tableColumn id="7" name="Semana 22"/>
    <tableColumn id="8" name="Semana 23"/>
    <tableColumn id="9" name="Semana 24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Semanas_25_a_30" displayName="Semanas_25_a_30" ref="A25:I29" headerRowCount="1">
  <autoFilter ref="A25:I29"/>
  <tableColumns count="9">
    <tableColumn id="1" name="Tarea"/>
    <tableColumn id="2" name="Semana 25"/>
    <tableColumn id="3" name="Semana 26"/>
    <tableColumn id="4" name="Semana 27"/>
    <tableColumn id="5" name="Semana 28"/>
    <tableColumn id="6" name="Semana 29"/>
    <tableColumn id="7" name="Semana 30"/>
    <tableColumn id="8" name=" "/>
    <tableColumn id="9" name="  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Semanas_31_a_34" displayName="Semanas_31_a_34" ref="A31:E34" headerRowCount="1">
  <autoFilter ref="A31:E34"/>
  <tableColumns count="5">
    <tableColumn id="1" name="Tarea"/>
    <tableColumn id="2" name="Semana 31"/>
    <tableColumn id="3" name="Semana 32"/>
    <tableColumn id="4" name="Semana 33"/>
    <tableColumn id="5" name="Semana 3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id="7" name="Tabla_2" displayName="Tabla_2" ref="A1:K41" headerRowCount="1">
  <autoFilter ref="A1:K41"/>
  <tableColumns count="11">
    <tableColumn id="1" name="Temas"/>
    <tableColumn id="2" name="Sesión 1"/>
    <tableColumn id="3" name="Sesión 2"/>
    <tableColumn id="4" name="Sesión 3"/>
    <tableColumn id="5" name="Sesión 4"/>
    <tableColumn id="6" name="Sesión 5"/>
    <tableColumn id="7" name="Sesión 6"/>
    <tableColumn id="8" name="Sesión 7"/>
    <tableColumn id="9" name="Sesión 8"/>
    <tableColumn id="10" name="Sesión 9"/>
    <tableColumn id="11" name="Sesión 10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id="8" name="AGENDA" displayName="AGENDA" ref="A12:E412" headerRowCount="1">
  <autoFilter ref="A12:E412"/>
  <tableColumns count="5">
    <tableColumn id="1" name="Fecha"/>
    <tableColumn id="2" name="Día de la semana"/>
    <tableColumn id="3" name="Tema"/>
    <tableColumn id="4" name="Nº de sesión"/>
    <tableColumn id="5" name="Estado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id="9" name="PREGUNTAS" displayName="PREGUNTAS" ref="A1:C21" headerRowCount="1">
  <autoFilter ref="A1:C21"/>
  <tableColumns count="3">
    <tableColumn id="1" name="Preguntas"/>
    <tableColumn id="2" name="Tipo de información"/>
    <tableColumn id="3" name="Respuest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7.xml" Id="rId2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34"/>
  <sheetViews>
    <sheetView workbookViewId="0">
      <selection activeCell="A1" sqref="A1"/>
    </sheetView>
  </sheetViews>
  <sheetFormatPr baseColWidth="8" defaultRowHeight="15.75"/>
  <cols>
    <col width="13.57" customWidth="1" min="1" max="1"/>
    <col width="16.43" customWidth="1" min="2" max="2"/>
    <col width="13.57" customWidth="1" min="3" max="3"/>
    <col width="13.57" customWidth="1" min="4" max="4"/>
    <col width="13.57" customWidth="1" min="5" max="5"/>
    <col width="13.57" customWidth="1" min="6" max="6"/>
    <col width="13.57" customWidth="1" min="7" max="7"/>
    <col width="13.57" customWidth="1" min="8" max="8"/>
    <col width="13.57" customWidth="1" min="9" max="9"/>
    <col width="13.57" customWidth="1" min="10" max="10"/>
    <col width="16.43" customWidth="1" min="11" max="11"/>
    <col width="13.57" customWidth="1" min="12" max="12"/>
  </cols>
  <sheetData>
    <row r="2" ht="22.5" customHeight="1">
      <c r="B2" s="1" t="inlineStr">
        <is>
          <t>Columna 1</t>
        </is>
      </c>
      <c r="C2" s="1" t="inlineStr">
        <is>
          <t>Horas</t>
        </is>
      </c>
    </row>
    <row r="3" ht="22.5" customHeight="1">
      <c r="B3" s="2" t="inlineStr">
        <is>
          <t>Tema nuevo</t>
        </is>
      </c>
      <c r="C3" s="3" t="n">
        <v>5</v>
      </c>
    </row>
    <row r="4" ht="22.5" customHeight="1">
      <c r="B4" s="4" t="inlineStr">
        <is>
          <t>Repaso activo</t>
        </is>
      </c>
      <c r="C4" s="5" t="n">
        <v>2.5</v>
      </c>
    </row>
    <row r="5" ht="22.5" customHeight="1">
      <c r="B5" s="2" t="inlineStr">
        <is>
          <t>Simulacro escrito</t>
        </is>
      </c>
      <c r="C5" s="3" t="n">
        <v>2.5</v>
      </c>
    </row>
    <row r="7" ht="22.5" customHeight="1">
      <c r="A7" s="1" t="inlineStr">
        <is>
          <t>Tarea</t>
        </is>
      </c>
      <c r="B7" s="1" t="inlineStr">
        <is>
          <t>Semana 1</t>
        </is>
      </c>
      <c r="C7" s="1" t="inlineStr">
        <is>
          <t>Semana 2</t>
        </is>
      </c>
      <c r="D7" s="1" t="inlineStr">
        <is>
          <t>Semana 3</t>
        </is>
      </c>
      <c r="E7" s="1" t="inlineStr">
        <is>
          <t>Semana 4</t>
        </is>
      </c>
      <c r="F7" s="1" t="inlineStr">
        <is>
          <t>Semana 5</t>
        </is>
      </c>
      <c r="G7" s="1" t="inlineStr">
        <is>
          <t>Semana 6</t>
        </is>
      </c>
      <c r="H7" s="1" t="inlineStr">
        <is>
          <t>Semana 7</t>
        </is>
      </c>
      <c r="I7" s="1" t="inlineStr">
        <is>
          <t>Semana 8</t>
        </is>
      </c>
      <c r="K7" s="6" t="inlineStr">
        <is>
          <t>Resumen semanas 1 a 8</t>
        </is>
      </c>
      <c r="L7" s="6" t="n"/>
    </row>
    <row r="8" ht="22.5" customHeight="1">
      <c r="A8" s="2" t="inlineStr">
        <is>
          <t>Temas nuevos</t>
        </is>
      </c>
      <c r="B8" s="3" t="n">
        <v>3</v>
      </c>
      <c r="C8" s="3" t="n">
        <v>2</v>
      </c>
      <c r="D8" s="3" t="n">
        <v>1</v>
      </c>
      <c r="E8" s="3" t="n">
        <v>2</v>
      </c>
      <c r="F8" s="3" t="n">
        <v>1</v>
      </c>
      <c r="G8" s="3" t="n">
        <v>1</v>
      </c>
      <c r="H8" s="3" t="n">
        <v>1</v>
      </c>
      <c r="I8" s="3" t="n">
        <v>2</v>
      </c>
      <c r="K8" s="7" t="inlineStr">
        <is>
          <t>Temas estudiados</t>
        </is>
      </c>
      <c r="L8" s="8">
        <f>SUM(B8:I8)</f>
        <v/>
      </c>
    </row>
    <row r="9" ht="22.5" customHeight="1">
      <c r="A9" s="4" t="inlineStr">
        <is>
          <t>Repasos</t>
        </is>
      </c>
      <c r="B9" s="5" t="n">
        <v>2</v>
      </c>
      <c r="C9" s="5" t="n">
        <v>4</v>
      </c>
      <c r="D9" s="5" t="n">
        <v>6</v>
      </c>
      <c r="E9" s="5" t="n">
        <v>3</v>
      </c>
      <c r="F9" s="5" t="n">
        <v>6</v>
      </c>
      <c r="G9" s="5" t="n">
        <v>6</v>
      </c>
      <c r="H9" s="5" t="n">
        <v>6</v>
      </c>
      <c r="I9" s="5" t="n">
        <v>3</v>
      </c>
      <c r="K9" s="7" t="inlineStr">
        <is>
          <t>Repasos</t>
        </is>
      </c>
      <c r="L9" s="8">
        <f>SUM(B9:I9)</f>
        <v/>
      </c>
    </row>
    <row r="10" ht="22.5" customHeight="1">
      <c r="A10" s="2" t="inlineStr">
        <is>
          <t>Simulacros</t>
        </is>
      </c>
      <c r="B10" s="3" t="n">
        <v>0</v>
      </c>
      <c r="C10" s="3" t="n">
        <v>0</v>
      </c>
      <c r="D10" s="3" t="n">
        <v>0</v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1</v>
      </c>
      <c r="K10" s="7" t="inlineStr">
        <is>
          <t>Simulacros</t>
        </is>
      </c>
      <c r="L10" s="8">
        <f>SUM(B10:I10)</f>
        <v/>
      </c>
    </row>
    <row r="11" ht="22.5" customHeight="1">
      <c r="A11" s="9" t="inlineStr">
        <is>
          <t>Horas</t>
        </is>
      </c>
      <c r="B11" s="10">
        <f>B8*H_TEMA_NUEVO+B9*H_REPASO+B10*H_SIMULACRO</f>
        <v/>
      </c>
      <c r="C11" s="10">
        <f>C8*H_TEMA_NUEVO+C9*H_REPASO+C10*H_SIMULACRO</f>
        <v/>
      </c>
      <c r="D11" s="10">
        <f>D8*H_TEMA_NUEVO+D9*H_REPASO+D10*H_SIMULACRO</f>
        <v/>
      </c>
      <c r="E11" s="10">
        <f>E8*H_TEMA_NUEVO+E9*H_REPASO+E10*H_SIMULACRO</f>
        <v/>
      </c>
      <c r="F11" s="10">
        <f>F8*H_TEMA_NUEVO+F9*H_REPASO+F10*H_SIMULACRO</f>
        <v/>
      </c>
      <c r="G11" s="10">
        <f>G8*H_TEMA_NUEVO+G9*H_REPASO+G10*H_SIMULACRO</f>
        <v/>
      </c>
      <c r="H11" s="10">
        <f>H8*H_TEMA_NUEVO+H9*H_REPASO+H10*H_SIMULACRO</f>
        <v/>
      </c>
      <c r="I11" s="10">
        <f>I8*H_TEMA_NUEVO+I9*H_REPASO+I10*H_SIMULACRO</f>
        <v/>
      </c>
    </row>
    <row r="13" ht="22.5" customHeight="1">
      <c r="A13" s="1" t="inlineStr">
        <is>
          <t>Tarea</t>
        </is>
      </c>
      <c r="B13" s="1" t="inlineStr">
        <is>
          <t>Semana 9</t>
        </is>
      </c>
      <c r="C13" s="1" t="inlineStr">
        <is>
          <t>Semana 10</t>
        </is>
      </c>
      <c r="D13" s="1" t="inlineStr">
        <is>
          <t>Semana 11</t>
        </is>
      </c>
      <c r="E13" s="1" t="inlineStr">
        <is>
          <t>Semana 12</t>
        </is>
      </c>
      <c r="F13" s="1" t="inlineStr">
        <is>
          <t>Semana 13</t>
        </is>
      </c>
      <c r="G13" s="1" t="inlineStr">
        <is>
          <t>Semana 14</t>
        </is>
      </c>
      <c r="H13" s="1" t="inlineStr">
        <is>
          <t>Semana 15</t>
        </is>
      </c>
      <c r="I13" s="1" t="inlineStr">
        <is>
          <t>Semana 16</t>
        </is>
      </c>
      <c r="K13" s="6" t="inlineStr">
        <is>
          <t>Resumen semanas 9 a 16</t>
        </is>
      </c>
      <c r="L13" s="6" t="n"/>
    </row>
    <row r="14" ht="22.5" customHeight="1">
      <c r="A14" s="2" t="inlineStr">
        <is>
          <t>Temas nuevos</t>
        </is>
      </c>
      <c r="B14" s="3" t="n">
        <v>1</v>
      </c>
      <c r="C14" s="3" t="n">
        <v>1</v>
      </c>
      <c r="D14" s="3" t="n">
        <v>1</v>
      </c>
      <c r="E14" s="3" t="n">
        <v>2</v>
      </c>
      <c r="F14" s="3" t="n">
        <v>1</v>
      </c>
      <c r="G14" s="3" t="n">
        <v>1</v>
      </c>
      <c r="H14" s="3" t="n">
        <v>1</v>
      </c>
      <c r="I14" s="3" t="n">
        <v>2</v>
      </c>
      <c r="K14" s="7" t="inlineStr">
        <is>
          <t>Temas estudiados</t>
        </is>
      </c>
      <c r="L14" s="8">
        <f>SUM(B14:I14)</f>
        <v/>
      </c>
    </row>
    <row r="15" ht="22.5" customHeight="1">
      <c r="A15" s="4" t="inlineStr">
        <is>
          <t>Repasos</t>
        </is>
      </c>
      <c r="B15" s="5" t="n">
        <v>6</v>
      </c>
      <c r="C15" s="5" t="n">
        <v>6</v>
      </c>
      <c r="D15" s="5" t="n">
        <v>6</v>
      </c>
      <c r="E15" s="5" t="n">
        <v>3</v>
      </c>
      <c r="F15" s="5" t="n">
        <v>6</v>
      </c>
      <c r="G15" s="5" t="n">
        <v>6</v>
      </c>
      <c r="H15" s="5" t="n">
        <v>6</v>
      </c>
      <c r="I15" s="5" t="n">
        <v>3</v>
      </c>
      <c r="K15" s="7" t="inlineStr">
        <is>
          <t>Repasos</t>
        </is>
      </c>
      <c r="L15" s="8">
        <f>SUM(B15:I15)</f>
        <v/>
      </c>
    </row>
    <row r="16" ht="22.5" customHeight="1">
      <c r="A16" s="2" t="inlineStr">
        <is>
          <t>Simulacros</t>
        </is>
      </c>
      <c r="B16" s="3" t="n">
        <v>0</v>
      </c>
      <c r="C16" s="3" t="n">
        <v>0</v>
      </c>
      <c r="D16" s="3" t="n">
        <v>0</v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1</v>
      </c>
      <c r="K16" s="7" t="inlineStr">
        <is>
          <t>Simulacros</t>
        </is>
      </c>
      <c r="L16" s="8">
        <f>SUM(B16:I16)</f>
        <v/>
      </c>
    </row>
    <row r="17" ht="22.5" customHeight="1">
      <c r="A17" s="9" t="inlineStr">
        <is>
          <t>Horas</t>
        </is>
      </c>
      <c r="B17" s="10">
        <f>B14*H_TEMA_NUEVO+B15*H_REPASO+B16*H_SIMULACRO</f>
        <v/>
      </c>
      <c r="C17" s="10">
        <f>C14*H_TEMA_NUEVO+C15*H_REPASO+C16*H_SIMULACRO</f>
        <v/>
      </c>
      <c r="D17" s="10">
        <f>D14*H_TEMA_NUEVO+D15*H_REPASO+D16*H_SIMULACRO</f>
        <v/>
      </c>
      <c r="E17" s="10">
        <f>E14*H_TEMA_NUEVO+E15*H_REPASO+E16*H_SIMULACRO</f>
        <v/>
      </c>
      <c r="F17" s="10">
        <f>F14*H_TEMA_NUEVO+F15*H_REPASO+F16*H_SIMULACRO</f>
        <v/>
      </c>
      <c r="G17" s="10">
        <f>G14*H_TEMA_NUEVO+G15*H_REPASO+G16*H_SIMULACRO</f>
        <v/>
      </c>
      <c r="H17" s="10">
        <f>H14*H_TEMA_NUEVO+H15*H_REPASO+H16*H_SIMULACRO</f>
        <v/>
      </c>
      <c r="I17" s="10">
        <f>I14*H_TEMA_NUEVO+I15*H_REPASO+I16*H_SIMULACRO</f>
        <v/>
      </c>
    </row>
    <row r="19" ht="22.5" customHeight="1">
      <c r="A19" s="1" t="inlineStr">
        <is>
          <t>Tarea</t>
        </is>
      </c>
      <c r="B19" s="1" t="inlineStr">
        <is>
          <t>Semana 17</t>
        </is>
      </c>
      <c r="C19" s="1" t="inlineStr">
        <is>
          <t>Semana 18</t>
        </is>
      </c>
      <c r="D19" s="1" t="inlineStr">
        <is>
          <t>Semana 19</t>
        </is>
      </c>
      <c r="E19" s="1" t="inlineStr">
        <is>
          <t>Semana 20</t>
        </is>
      </c>
      <c r="F19" s="1" t="inlineStr">
        <is>
          <t>Semana 21</t>
        </is>
      </c>
      <c r="G19" s="1" t="inlineStr">
        <is>
          <t>Semana 22</t>
        </is>
      </c>
      <c r="H19" s="1" t="inlineStr">
        <is>
          <t>Semana 23</t>
        </is>
      </c>
      <c r="I19" s="1" t="inlineStr">
        <is>
          <t>Semana 24</t>
        </is>
      </c>
      <c r="K19" s="6" t="inlineStr">
        <is>
          <t>Resumen semanas 17 a 24</t>
        </is>
      </c>
      <c r="L19" s="6" t="n"/>
    </row>
    <row r="20" ht="22.5" customHeight="1">
      <c r="A20" s="2" t="inlineStr">
        <is>
          <t>Temas nuevos</t>
        </is>
      </c>
      <c r="B20" s="3" t="n">
        <v>1</v>
      </c>
      <c r="C20" s="3" t="n">
        <v>1</v>
      </c>
      <c r="D20" s="3" t="n">
        <v>1</v>
      </c>
      <c r="E20" s="3" t="n">
        <v>2</v>
      </c>
      <c r="F20" s="3" t="n">
        <v>1</v>
      </c>
      <c r="G20" s="3" t="n">
        <v>1</v>
      </c>
      <c r="H20" s="3" t="n">
        <v>1</v>
      </c>
      <c r="I20" s="3" t="n">
        <v>2</v>
      </c>
      <c r="K20" s="7" t="inlineStr">
        <is>
          <t>Temas estudiados</t>
        </is>
      </c>
      <c r="L20" s="8">
        <f>SUM(B20:I20)</f>
        <v/>
      </c>
    </row>
    <row r="21" ht="22.5" customHeight="1">
      <c r="A21" s="4" t="inlineStr">
        <is>
          <t>Repasos</t>
        </is>
      </c>
      <c r="B21" s="5" t="n">
        <v>6</v>
      </c>
      <c r="C21" s="5" t="n">
        <v>6</v>
      </c>
      <c r="D21" s="5" t="n">
        <v>6</v>
      </c>
      <c r="E21" s="5" t="n">
        <v>3</v>
      </c>
      <c r="F21" s="5" t="n">
        <v>6</v>
      </c>
      <c r="G21" s="5" t="n">
        <v>6</v>
      </c>
      <c r="H21" s="5" t="n">
        <v>6</v>
      </c>
      <c r="I21" s="5" t="n">
        <v>3</v>
      </c>
      <c r="K21" s="7" t="inlineStr">
        <is>
          <t>Repasos</t>
        </is>
      </c>
      <c r="L21" s="8">
        <f>SUM(B21:I21)</f>
        <v/>
      </c>
    </row>
    <row r="22" ht="22.5" customHeight="1">
      <c r="A22" s="2" t="inlineStr">
        <is>
          <t>Simulacros</t>
        </is>
      </c>
      <c r="B22" s="3" t="n">
        <v>0</v>
      </c>
      <c r="C22" s="3" t="n">
        <v>0</v>
      </c>
      <c r="D22" s="3" t="n">
        <v>0</v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1</v>
      </c>
      <c r="K22" s="7" t="inlineStr">
        <is>
          <t>Simulacros</t>
        </is>
      </c>
      <c r="L22" s="8">
        <f>SUM(B22:I22)</f>
        <v/>
      </c>
    </row>
    <row r="23" ht="22.5" customHeight="1">
      <c r="A23" s="9" t="inlineStr">
        <is>
          <t>Horas</t>
        </is>
      </c>
      <c r="B23" s="10">
        <f>B20*H_TEMA_NUEVO+B21*H_REPASO+B22*H_SIMULACRO</f>
        <v/>
      </c>
      <c r="C23" s="10">
        <f>C20*H_TEMA_NUEVO+C21*H_REPASO+C22*H_SIMULACRO</f>
        <v/>
      </c>
      <c r="D23" s="10">
        <f>D20*H_TEMA_NUEVO+D21*H_REPASO+D22*H_SIMULACRO</f>
        <v/>
      </c>
      <c r="E23" s="10">
        <f>E20*H_TEMA_NUEVO+E21*H_REPASO+E22*H_SIMULACRO</f>
        <v/>
      </c>
      <c r="F23" s="10">
        <f>F20*H_TEMA_NUEVO+F21*H_REPASO+F22*H_SIMULACRO</f>
        <v/>
      </c>
      <c r="G23" s="10">
        <f>G20*H_TEMA_NUEVO+G21*H_REPASO+G22*H_SIMULACRO</f>
        <v/>
      </c>
      <c r="H23" s="10">
        <f>H20*H_TEMA_NUEVO+H21*H_REPASO+H22*H_SIMULACRO</f>
        <v/>
      </c>
      <c r="I23" s="10">
        <f>I20*H_TEMA_NUEVO+I21*H_REPASO+I22*H_SIMULACRO</f>
        <v/>
      </c>
    </row>
    <row r="25" ht="22.5" customHeight="1">
      <c r="A25" s="1" t="inlineStr">
        <is>
          <t>Tarea</t>
        </is>
      </c>
      <c r="B25" s="1" t="inlineStr">
        <is>
          <t>Semana 25</t>
        </is>
      </c>
      <c r="C25" s="1" t="inlineStr">
        <is>
          <t>Semana 26</t>
        </is>
      </c>
      <c r="D25" s="1" t="inlineStr">
        <is>
          <t>Semana 27</t>
        </is>
      </c>
      <c r="E25" s="1" t="inlineStr">
        <is>
          <t>Semana 28</t>
        </is>
      </c>
      <c r="F25" s="1" t="inlineStr">
        <is>
          <t>Semana 29</t>
        </is>
      </c>
      <c r="G25" s="1" t="inlineStr">
        <is>
          <t>Semana 30</t>
        </is>
      </c>
      <c r="H25" s="11" t="inlineStr">
        <is>
          <t> </t>
        </is>
      </c>
      <c r="I25" s="11" t="inlineStr">
        <is>
          <t>  </t>
        </is>
      </c>
      <c r="K25" s="6" t="inlineStr">
        <is>
          <t>Resumen semanas 25 a 30</t>
        </is>
      </c>
      <c r="L25" s="6" t="n"/>
    </row>
    <row r="26" ht="22.5" customHeight="1">
      <c r="A26" s="2" t="inlineStr">
        <is>
          <t>Temas nuevos</t>
        </is>
      </c>
      <c r="B26" s="3" t="n">
        <v>1</v>
      </c>
      <c r="C26" s="3" t="n">
        <v>1</v>
      </c>
      <c r="D26" s="3" t="n">
        <v>1</v>
      </c>
      <c r="E26" s="3" t="n">
        <v>2</v>
      </c>
      <c r="F26" s="3" t="n">
        <v>1</v>
      </c>
      <c r="G26" s="3" t="n">
        <v>1</v>
      </c>
      <c r="H26" s="12" t="inlineStr">
        <is>
          <t>-</t>
        </is>
      </c>
      <c r="I26" s="12" t="inlineStr">
        <is>
          <t>-</t>
        </is>
      </c>
      <c r="K26" s="7" t="inlineStr">
        <is>
          <t>Temas estudiados</t>
        </is>
      </c>
      <c r="L26" s="8">
        <f>SUM(B26:G26)</f>
        <v/>
      </c>
    </row>
    <row r="27" ht="22.5" customHeight="1">
      <c r="A27" s="4" t="inlineStr">
        <is>
          <t>Repasos</t>
        </is>
      </c>
      <c r="B27" s="5" t="n">
        <v>6</v>
      </c>
      <c r="C27" s="5" t="n">
        <v>6</v>
      </c>
      <c r="D27" s="5" t="n">
        <v>6</v>
      </c>
      <c r="E27" s="5" t="n">
        <v>3</v>
      </c>
      <c r="F27" s="5" t="n">
        <v>6</v>
      </c>
      <c r="G27" s="5" t="n">
        <v>6</v>
      </c>
      <c r="H27" s="12" t="inlineStr">
        <is>
          <t>-</t>
        </is>
      </c>
      <c r="I27" s="12" t="inlineStr">
        <is>
          <t>-</t>
        </is>
      </c>
      <c r="K27" s="7" t="inlineStr">
        <is>
          <t>Repasos</t>
        </is>
      </c>
      <c r="L27" s="8">
        <f>SUM(B27:G27)</f>
        <v/>
      </c>
    </row>
    <row r="28" ht="22.5" customHeight="1">
      <c r="A28" s="2" t="inlineStr">
        <is>
          <t>Simulacros</t>
        </is>
      </c>
      <c r="B28" s="3" t="n">
        <v>0</v>
      </c>
      <c r="C28" s="3" t="n">
        <v>0</v>
      </c>
      <c r="D28" s="3" t="n">
        <v>0</v>
      </c>
      <c r="E28" s="3" t="n">
        <v>1</v>
      </c>
      <c r="F28" s="3" t="n">
        <v>0</v>
      </c>
      <c r="G28" s="3" t="n">
        <v>0</v>
      </c>
      <c r="H28" s="12" t="inlineStr">
        <is>
          <t>-</t>
        </is>
      </c>
      <c r="I28" s="12" t="inlineStr">
        <is>
          <t>-</t>
        </is>
      </c>
      <c r="K28" s="7" t="inlineStr">
        <is>
          <t>Simulacros</t>
        </is>
      </c>
      <c r="L28" s="8">
        <f>SUM(B28:G28)</f>
        <v/>
      </c>
    </row>
    <row r="29" ht="22.5" customHeight="1">
      <c r="A29" s="9" t="inlineStr">
        <is>
          <t>Horas</t>
        </is>
      </c>
      <c r="B29" s="10">
        <f>IF(B26="-","-",B26*H_TEMA_NUEVO+B27*H_REPASO+B28*H_SIMULACRO)</f>
        <v/>
      </c>
      <c r="C29" s="10">
        <f>IF(C26="-","-",C26*H_TEMA_NUEVO+C27*H_REPASO+C28*H_SIMULACRO)</f>
        <v/>
      </c>
      <c r="D29" s="10">
        <f>IF(D26="-","-",D26*H_TEMA_NUEVO+D27*H_REPASO+D28*H_SIMULACRO)</f>
        <v/>
      </c>
      <c r="E29" s="10">
        <f>IF(E26="-","-",E26*H_TEMA_NUEVO+E27*H_REPASO+E28*H_SIMULACRO)</f>
        <v/>
      </c>
      <c r="F29" s="10">
        <f>IF(F26="-","-",F26*H_TEMA_NUEVO+F27*H_REPASO+F28*H_SIMULACRO)</f>
        <v/>
      </c>
      <c r="G29" s="10">
        <f>IF(G26="-","-",G26*H_TEMA_NUEVO+G27*H_REPASO+G28*H_SIMULACRO)</f>
        <v/>
      </c>
      <c r="H29" s="12">
        <f>IF(H26="-","-",H26*H_TEMA_NUEVO+H27*H_REPASO+H28*H_SIMULACRO)</f>
        <v/>
      </c>
      <c r="I29" s="12">
        <f>IF(I26="-","-",I26*H_TEMA_NUEVO+I27*H_REPASO+I28*H_SIMULACRO)</f>
        <v/>
      </c>
    </row>
    <row r="31" ht="22.5" customHeight="1">
      <c r="A31" s="13" t="inlineStr">
        <is>
          <t>Tarea</t>
        </is>
      </c>
      <c r="B31" s="13" t="inlineStr">
        <is>
          <t>Semana 31</t>
        </is>
      </c>
      <c r="C31" s="13" t="inlineStr">
        <is>
          <t>Semana 32</t>
        </is>
      </c>
      <c r="D31" s="13" t="inlineStr">
        <is>
          <t>Semana 33</t>
        </is>
      </c>
      <c r="E31" s="13" t="inlineStr">
        <is>
          <t>Semana 34</t>
        </is>
      </c>
      <c r="G31" s="14" t="inlineStr">
        <is>
          <t>Resumen semanas 31 a 34</t>
        </is>
      </c>
      <c r="H31" s="14" t="n"/>
    </row>
    <row r="32" ht="22.5" customHeight="1">
      <c r="A32" s="2" t="inlineStr">
        <is>
          <t>Repasos</t>
        </is>
      </c>
      <c r="B32" s="3" t="n">
        <v>10</v>
      </c>
      <c r="C32" s="3" t="n">
        <v>10</v>
      </c>
      <c r="D32" s="3" t="n">
        <v>10</v>
      </c>
      <c r="E32" s="3" t="n">
        <v>10</v>
      </c>
      <c r="G32" s="15" t="inlineStr">
        <is>
          <t>Repasos</t>
        </is>
      </c>
      <c r="H32" s="16">
        <f>SUM(B32:E32)</f>
        <v/>
      </c>
    </row>
    <row r="33" ht="22.5" customHeight="1">
      <c r="A33" s="4" t="inlineStr">
        <is>
          <t>Simulacros</t>
        </is>
      </c>
      <c r="B33" s="5" t="n">
        <v>1</v>
      </c>
      <c r="C33" s="5" t="n">
        <v>1</v>
      </c>
      <c r="D33" s="5" t="n">
        <v>1</v>
      </c>
      <c r="E33" s="5" t="n">
        <v>1</v>
      </c>
      <c r="G33" s="15" t="inlineStr">
        <is>
          <t>Simulacros</t>
        </is>
      </c>
      <c r="H33" s="16">
        <f>SUM(B33:E33)</f>
        <v/>
      </c>
    </row>
    <row r="34" ht="22.5" customHeight="1">
      <c r="A34" s="9" t="inlineStr">
        <is>
          <t>Horas</t>
        </is>
      </c>
      <c r="B34" s="10">
        <f>B32*H_REPASO+B33*H_SIMULACRO</f>
        <v/>
      </c>
      <c r="C34" s="10">
        <f>C32*H_REPASO+C33*H_SIMULACRO</f>
        <v/>
      </c>
      <c r="D34" s="10">
        <f>D32*H_REPASO+D33*H_SIMULACRO</f>
        <v/>
      </c>
      <c r="E34" s="10">
        <f>E32*H_REPASO+E33*H_SIMULACRO</f>
        <v/>
      </c>
    </row>
  </sheetData>
  <conditionalFormatting sqref="B8:I8 B14:I14 B20:I20 B26:G26">
    <cfRule type="colorScale" priority="1">
      <colorScale>
        <cfvo type="min"/>
        <cfvo type="max"/>
        <color rgb="00E6F2EA"/>
        <color rgb="007CC49A"/>
      </colorScale>
    </cfRule>
  </conditionalFormatting>
  <pageMargins left="0.75" right="0.75" top="1" bottom="1" header="0.5" footer="0.5"/>
  <tableParts count="6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4"/>
  <sheetViews>
    <sheetView workbookViewId="0">
      <selection activeCell="A1" sqref="A1"/>
    </sheetView>
  </sheetViews>
  <sheetFormatPr baseColWidth="8" defaultRowHeight="15.75"/>
  <cols>
    <col width="13.57" customWidth="1" min="1" max="1"/>
    <col width="13.57" customWidth="1" min="2" max="2"/>
    <col width="13.57" customWidth="1" min="3" max="3"/>
    <col width="13.57" customWidth="1" min="4" max="4"/>
    <col width="13.57" customWidth="1" min="5" max="5"/>
    <col width="13.57" customWidth="1" min="6" max="6"/>
    <col width="13.57" customWidth="1" min="7" max="7"/>
    <col width="13.57" customWidth="1" min="8" max="8"/>
    <col width="13.57" customWidth="1" min="9" max="9"/>
    <col width="13.57" customWidth="1" min="10" max="10"/>
    <col width="13.57" customWidth="1" min="11" max="11"/>
    <col width="13.57" customWidth="1" min="12" max="12"/>
    <col width="13.57" customWidth="1" min="13" max="13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  <col hidden="1" width="13" customWidth="1" min="23" max="23"/>
    <col hidden="1" width="13" customWidth="1" min="24" max="24"/>
    <col hidden="1" width="13" customWidth="1" min="25" max="25"/>
    <col hidden="1" width="13" customWidth="1" min="26" max="26"/>
    <col hidden="1" width="13" customWidth="1" min="27" max="27"/>
    <col hidden="1" width="13" customWidth="1" min="28" max="28"/>
    <col hidden="1" width="13" customWidth="1" min="29" max="29"/>
    <col hidden="1" width="13" customWidth="1" min="30" max="30"/>
    <col hidden="1" width="13" customWidth="1" min="31" max="31"/>
    <col hidden="1" width="13" customWidth="1" min="32" max="32"/>
    <col hidden="1" width="13" customWidth="1" min="33" max="33"/>
    <col hidden="1" width="13" customWidth="1" min="34" max="34"/>
    <col hidden="1" width="13" customWidth="1" min="35" max="35"/>
    <col hidden="1" width="13" customWidth="1" min="36" max="36"/>
    <col hidden="1" width="13" customWidth="1" min="37" max="37"/>
    <col hidden="1" width="13" customWidth="1" min="38" max="38"/>
    <col hidden="1" width="13" customWidth="1" min="39" max="39"/>
    <col hidden="1" width="13" customWidth="1" min="40" max="40"/>
    <col hidden="1" width="13" customWidth="1" min="41" max="41"/>
    <col hidden="1" width="13" customWidth="1" min="42" max="42"/>
    <col hidden="1" width="13" customWidth="1" min="43" max="43"/>
    <col hidden="1" width="13" customWidth="1" min="44" max="44"/>
    <col hidden="1" width="13" customWidth="1" min="45" max="45"/>
    <col hidden="1" width="13" customWidth="1" min="46" max="46"/>
    <col hidden="1" width="13" customWidth="1" min="47" max="47"/>
    <col hidden="1" width="13" customWidth="1" min="48" max="48"/>
    <col hidden="1" width="13" customWidth="1" min="49" max="49"/>
    <col hidden="1" width="13" customWidth="1" min="50" max="50"/>
    <col hidden="1" width="13" customWidth="1" min="51" max="51"/>
    <col hidden="1" width="13" customWidth="1" min="52" max="52"/>
    <col hidden="1" width="13" customWidth="1" min="53" max="53"/>
    <col hidden="1" width="13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</cols>
  <sheetData>
    <row r="1" ht="22.5" customHeight="1">
      <c r="A1" s="1" t="inlineStr">
        <is>
          <t>Temas</t>
        </is>
      </c>
      <c r="B1" s="1" t="inlineStr">
        <is>
          <t>Sesión 1</t>
        </is>
      </c>
      <c r="C1" s="1" t="inlineStr">
        <is>
          <t>Sesión 2</t>
        </is>
      </c>
      <c r="D1" s="1" t="inlineStr">
        <is>
          <t>Sesión 3</t>
        </is>
      </c>
      <c r="E1" s="1" t="inlineStr">
        <is>
          <t>Sesión 4</t>
        </is>
      </c>
      <c r="F1" s="1" t="inlineStr">
        <is>
          <t>Sesión 5</t>
        </is>
      </c>
      <c r="G1" s="1" t="inlineStr">
        <is>
          <t>Sesión 6</t>
        </is>
      </c>
      <c r="H1" s="1" t="inlineStr">
        <is>
          <t>Sesión 7</t>
        </is>
      </c>
      <c r="I1" s="1" t="inlineStr">
        <is>
          <t>Sesión 8</t>
        </is>
      </c>
      <c r="J1" s="1" t="inlineStr">
        <is>
          <t>Sesión 9</t>
        </is>
      </c>
      <c r="K1" s="1" t="inlineStr">
        <is>
          <t>Sesión 10</t>
        </is>
      </c>
      <c r="M1" s="17" t="inlineStr">
        <is>
          <t>Días de estudio</t>
        </is>
      </c>
      <c r="O1" s="17" t="inlineStr">
        <is>
          <t>Día de la semana</t>
        </is>
      </c>
      <c r="P1" s="17" t="inlineStr">
        <is>
          <t>Días hasta el siguiente día hábil</t>
        </is>
      </c>
      <c r="R1" s="17" t="inlineStr">
        <is>
          <t>Semillas de Sesión 2 a 10 (sobrescriben la propuesta del motor)</t>
        </is>
      </c>
      <c r="AB1" s="17" t="inlineStr">
        <is>
          <t>Matriz espejo de estados por sesión (Éxito / Fallo / vacío)</t>
        </is>
      </c>
      <c r="AM1" s="17" t="inlineStr">
        <is>
          <t>Etiqueta de sesión superada</t>
        </is>
      </c>
      <c r="AN1" s="18" t="inlineStr">
        <is>
          <t>Éxito</t>
        </is>
      </c>
      <c r="AP1" s="17" t="inlineStr">
        <is>
          <t>Semana</t>
        </is>
      </c>
      <c r="AQ1" s="17" t="inlineStr">
        <is>
          <t>Inicio</t>
        </is>
      </c>
      <c r="AR1" s="17" t="inlineStr">
        <is>
          <t>Fin</t>
        </is>
      </c>
      <c r="AS1" s="17" t="inlineStr">
        <is>
          <t>Éxitos</t>
        </is>
      </c>
      <c r="AT1" s="17" t="inlineStr">
        <is>
          <t>Fallos</t>
        </is>
      </c>
      <c r="AU1" s="17" t="inlineStr">
        <is>
          <t>Tasa de éxito</t>
        </is>
      </c>
      <c r="AV1" s="17" t="inlineStr">
        <is>
          <t>Completadas</t>
        </is>
      </c>
      <c r="AW1" s="17" t="inlineStr">
        <is>
          <t>Acumulado</t>
        </is>
      </c>
      <c r="AX1" s="17" t="inlineStr">
        <is>
          <t>Media móvil 3</t>
        </is>
      </c>
      <c r="AZ1" s="17" t="inlineStr">
        <is>
          <t>Espejo numérico de fechas (0 = sin fecha)</t>
        </is>
      </c>
    </row>
    <row r="2" ht="22.5" customHeight="1">
      <c r="A2" s="19" t="inlineStr">
        <is>
          <t>Tema 1</t>
        </is>
      </c>
      <c r="B2" s="73" t="n">
        <v>46174</v>
      </c>
      <c r="C2" s="74">
        <f>IF($B2="","",IF(R2&lt;&gt;"",R2,(B2+INDEX(INTERVALOS,COLUMN()-COLUMN($B$1)))+INDEX(DESPLAZAMIENTO,WEEKDAY(B2+INDEX(INTERVALOS,COLUMN()-COLUMN($B$1)),2))))</f>
        <v/>
      </c>
      <c r="D2" s="75">
        <f>IF($B2="","",IF(S2&lt;&gt;"",S2,(C2+INDEX(INTERVALOS,COLUMN()-COLUMN($B$1)))+INDEX(DESPLAZAMIENTO,WEEKDAY(C2+INDEX(INTERVALOS,COLUMN()-COLUMN($B$1)),2))))</f>
        <v/>
      </c>
      <c r="E2" s="76">
        <f>IF($B2="","",IF(T2&lt;&gt;"",T2,(D2+INDEX(INTERVALOS,COLUMN()-COLUMN($B$1)))+INDEX(DESPLAZAMIENTO,WEEKDAY(D2+INDEX(INTERVALOS,COLUMN()-COLUMN($B$1)),2))))</f>
        <v/>
      </c>
      <c r="F2" s="77">
        <f>IF($B2="","",IF(U2&lt;&gt;"",U2,(E2+INDEX(INTERVALOS,COLUMN()-COLUMN($B$1)))+INDEX(DESPLAZAMIENTO,WEEKDAY(E2+INDEX(INTERVALOS,COLUMN()-COLUMN($B$1)),2))))</f>
        <v/>
      </c>
      <c r="G2" s="78">
        <f>IF($B2="","",IF(V2&lt;&gt;"",V2,(F2+INDEX(INTERVALOS,COLUMN()-COLUMN($B$1)))+INDEX(DESPLAZAMIENTO,WEEKDAY(F2+INDEX(INTERVALOS,COLUMN()-COLUMN($B$1)),2))))</f>
        <v/>
      </c>
      <c r="H2" s="78">
        <f>IF($B2="","",IF(W2&lt;&gt;"",W2,(G2+INDEX(INTERVALOS,COLUMN()-COLUMN($B$1)))+INDEX(DESPLAZAMIENTO,WEEKDAY(G2+INDEX(INTERVALOS,COLUMN()-COLUMN($B$1)),2))))</f>
        <v/>
      </c>
      <c r="I2" s="78">
        <f>IF($B2="","",IF(X2&lt;&gt;"",X2,(H2+INDEX(INTERVALOS,COLUMN()-COLUMN($B$1)))+INDEX(DESPLAZAMIENTO,WEEKDAY(H2+INDEX(INTERVALOS,COLUMN()-COLUMN($B$1)),2))))</f>
        <v/>
      </c>
      <c r="J2" s="78">
        <f>IF($B2="","",IF(Y2&lt;&gt;"",Y2,(I2+INDEX(INTERVALOS,COLUMN()-COLUMN($B$1)))+INDEX(DESPLAZAMIENTO,WEEKDAY(I2+INDEX(INTERVALOS,COLUMN()-COLUMN($B$1)),2))))</f>
        <v/>
      </c>
      <c r="K2" s="78">
        <f>IF($B2="","",IF(Z2&lt;&gt;"",Z2,(J2+INDEX(INTERVALOS,COLUMN()-COLUMN($B$1)))+INDEX(DESPLAZAMIENTO,WEEKDAY(J2+INDEX(INTERVALOS,COLUMN()-COLUMN($B$1)),2))))</f>
        <v/>
      </c>
      <c r="M2" s="18" t="inlineStr">
        <is>
          <t>Lunes</t>
        </is>
      </c>
      <c r="O2" s="18" t="inlineStr">
        <is>
          <t>Lunes</t>
        </is>
      </c>
      <c r="P2" s="26">
        <f>IF(COUNTIF(DIAS_ESTUDIO,$O$2)&gt;0,0,IF(COUNTIF(DIAS_ESTUDIO,$O$3)&gt;0,1,IF(COUNTIF(DIAS_ESTUDIO,$O$4)&gt;0,2,IF(COUNTIF(DIAS_ESTUDIO,$O$5)&gt;0,3,IF(COUNTIF(DIAS_ESTUDIO,$O$6)&gt;0,4,IF(COUNTIF(DIAS_ESTUDIO,$O$7)&gt;0,5,IF(COUNTIF(DIAS_ESTUDIO,$O$8)&gt;0,6,0)))))))</f>
        <v/>
      </c>
      <c r="R2" s="79" t="n">
        <v>46176</v>
      </c>
      <c r="S2" s="79" t="n">
        <v>46182</v>
      </c>
      <c r="T2" s="79" t="n">
        <v>46193</v>
      </c>
      <c r="AM2" s="17" t="inlineStr">
        <is>
          <t>Etiqueta de sesión fallida</t>
        </is>
      </c>
      <c r="AN2" s="18" t="inlineStr">
        <is>
          <t>Fallo</t>
        </is>
      </c>
      <c r="AP2" s="26" t="n">
        <v>1</v>
      </c>
      <c r="AQ2" s="79">
        <f>IF($AN$3="","",$AN$3+(AP2-1)*DIAS_POR_SEMANA)</f>
        <v/>
      </c>
      <c r="AR2" s="79">
        <f>IF(AQ2="","",AQ2+DIAS_POR_SEMANA-1)</f>
        <v/>
      </c>
      <c r="AS2" s="26">
        <f>IF(AQ2="",0,SUMPRODUCT(($AB$2:$AK$41=ESTADO_EXITO)*($AZ$2:$BI$41&gt;=AQ2)*($AZ$2:$BI$41&lt;=AR2)))</f>
        <v/>
      </c>
      <c r="AT2" s="26">
        <f>IF(AQ2="",0,SUMPRODUCT(($AB$2:$AK$41=ESTADO_FALLO)*($AZ$2:$BI$41&gt;=AQ2)*($AZ$2:$BI$41&lt;=AR2)))</f>
        <v/>
      </c>
      <c r="AU2" s="28">
        <f>IF(AS2+AT2=0,"",AS2/(AS2+AT2))</f>
        <v/>
      </c>
      <c r="AV2" s="26">
        <f>AS2+AT2</f>
        <v/>
      </c>
      <c r="AW2" s="26">
        <f>SUM($AV$2:AV2)</f>
        <v/>
      </c>
      <c r="AZ2" s="26">
        <f>IF(B2="",0,B2)</f>
        <v/>
      </c>
      <c r="BA2" s="26">
        <f>IF(C2="",0,C2)</f>
        <v/>
      </c>
      <c r="BB2" s="26">
        <f>IF(D2="",0,D2)</f>
        <v/>
      </c>
      <c r="BC2" s="26">
        <f>IF(E2="",0,E2)</f>
        <v/>
      </c>
      <c r="BD2" s="26">
        <f>IF(F2="",0,F2)</f>
        <v/>
      </c>
      <c r="BE2" s="26">
        <f>IF(G2="",0,G2)</f>
        <v/>
      </c>
      <c r="BF2" s="26">
        <f>IF(H2="",0,H2)</f>
        <v/>
      </c>
      <c r="BG2" s="26">
        <f>IF(I2="",0,I2)</f>
        <v/>
      </c>
      <c r="BH2" s="26">
        <f>IF(J2="",0,J2)</f>
        <v/>
      </c>
      <c r="BI2" s="26">
        <f>IF(K2="",0,K2)</f>
        <v/>
      </c>
    </row>
    <row r="3" ht="22.5" customHeight="1">
      <c r="A3" s="29" t="inlineStr">
        <is>
          <t>Tema 2</t>
        </is>
      </c>
      <c r="B3" s="80" t="n">
        <v>46177</v>
      </c>
      <c r="C3" s="81">
        <f>IF($B3="","",IF(R3&lt;&gt;"",R3,(B3+INDEX(INTERVALOS,COLUMN()-COLUMN($B$1)))+INDEX(DESPLAZAMIENTO,WEEKDAY(B3+INDEX(INTERVALOS,COLUMN()-COLUMN($B$1)),2))))</f>
        <v/>
      </c>
      <c r="D3" s="82">
        <f>IF($B3="","",IF(S3&lt;&gt;"",S3,(C3+INDEX(INTERVALOS,COLUMN()-COLUMN($B$1)))+INDEX(DESPLAZAMIENTO,WEEKDAY(C3+INDEX(INTERVALOS,COLUMN()-COLUMN($B$1)),2))))</f>
        <v/>
      </c>
      <c r="E3" s="83">
        <f>IF($B3="","",IF(T3&lt;&gt;"",T3,(D3+INDEX(INTERVALOS,COLUMN()-COLUMN($B$1)))+INDEX(DESPLAZAMIENTO,WEEKDAY(D3+INDEX(INTERVALOS,COLUMN()-COLUMN($B$1)),2))))</f>
        <v/>
      </c>
      <c r="F3" s="84">
        <f>IF($B3="","",IF(U3&lt;&gt;"",U3,(E3+INDEX(INTERVALOS,COLUMN()-COLUMN($B$1)))+INDEX(DESPLAZAMIENTO,WEEKDAY(E3+INDEX(INTERVALOS,COLUMN()-COLUMN($B$1)),2))))</f>
        <v/>
      </c>
      <c r="G3" s="85">
        <f>IF($B3="","",IF(V3&lt;&gt;"",V3,(F3+INDEX(INTERVALOS,COLUMN()-COLUMN($B$1)))+INDEX(DESPLAZAMIENTO,WEEKDAY(F3+INDEX(INTERVALOS,COLUMN()-COLUMN($B$1)),2))))</f>
        <v/>
      </c>
      <c r="H3" s="85">
        <f>IF($B3="","",IF(W3&lt;&gt;"",W3,(G3+INDEX(INTERVALOS,COLUMN()-COLUMN($B$1)))+INDEX(DESPLAZAMIENTO,WEEKDAY(G3+INDEX(INTERVALOS,COLUMN()-COLUMN($B$1)),2))))</f>
        <v/>
      </c>
      <c r="I3" s="85">
        <f>IF($B3="","",IF(X3&lt;&gt;"",X3,(H3+INDEX(INTERVALOS,COLUMN()-COLUMN($B$1)))+INDEX(DESPLAZAMIENTO,WEEKDAY(H3+INDEX(INTERVALOS,COLUMN()-COLUMN($B$1)),2))))</f>
        <v/>
      </c>
      <c r="J3" s="85">
        <f>IF($B3="","",IF(Y3&lt;&gt;"",Y3,(I3+INDEX(INTERVALOS,COLUMN()-COLUMN($B$1)))+INDEX(DESPLAZAMIENTO,WEEKDAY(I3+INDEX(INTERVALOS,COLUMN()-COLUMN($B$1)),2))))</f>
        <v/>
      </c>
      <c r="K3" s="85">
        <f>IF($B3="","",IF(Z3&lt;&gt;"",Z3,(J3+INDEX(INTERVALOS,COLUMN()-COLUMN($B$1)))+INDEX(DESPLAZAMIENTO,WEEKDAY(J3+INDEX(INTERVALOS,COLUMN()-COLUMN($B$1)),2))))</f>
        <v/>
      </c>
      <c r="M3" s="18" t="inlineStr">
        <is>
          <t>Martes</t>
        </is>
      </c>
      <c r="O3" s="18" t="inlineStr">
        <is>
          <t>Martes</t>
        </is>
      </c>
      <c r="P3" s="26">
        <f>IF(COUNTIF(DIAS_ESTUDIO,$O$3)&gt;0,0,IF(COUNTIF(DIAS_ESTUDIO,$O$4)&gt;0,1,IF(COUNTIF(DIAS_ESTUDIO,$O$5)&gt;0,2,IF(COUNTIF(DIAS_ESTUDIO,$O$6)&gt;0,3,IF(COUNTIF(DIAS_ESTUDIO,$O$7)&gt;0,4,IF(COUNTIF(DIAS_ESTUDIO,$O$8)&gt;0,5,IF(COUNTIF(DIAS_ESTUDIO,$O$2)&gt;0,6,0)))))))</f>
        <v/>
      </c>
      <c r="R3" s="79" t="n">
        <v>46179</v>
      </c>
      <c r="S3" s="79" t="n">
        <v>46185</v>
      </c>
      <c r="T3" s="79" t="n">
        <v>46193</v>
      </c>
      <c r="AM3" s="17" t="inlineStr">
        <is>
          <t>Lunes de la primera sesión</t>
        </is>
      </c>
      <c r="AN3" s="79">
        <f>IF(MIN($B$2:$K$41)=0,"",MIN($B$2:$K$41)-WEEKDAY(MIN($B$2:$K$41),2)+1)</f>
        <v/>
      </c>
      <c r="AP3" s="26" t="n">
        <v>2</v>
      </c>
      <c r="AQ3" s="79">
        <f>IF($AN$3="","",$AN$3+(AP3-1)*DIAS_POR_SEMANA)</f>
        <v/>
      </c>
      <c r="AR3" s="79">
        <f>IF(AQ3="","",AQ3+DIAS_POR_SEMANA-1)</f>
        <v/>
      </c>
      <c r="AS3" s="26">
        <f>IF(AQ3="",0,SUMPRODUCT(($AB$2:$AK$41=ESTADO_EXITO)*($AZ$2:$BI$41&gt;=AQ3)*($AZ$2:$BI$41&lt;=AR3)))</f>
        <v/>
      </c>
      <c r="AT3" s="26">
        <f>IF(AQ3="",0,SUMPRODUCT(($AB$2:$AK$41=ESTADO_FALLO)*($AZ$2:$BI$41&gt;=AQ3)*($AZ$2:$BI$41&lt;=AR3)))</f>
        <v/>
      </c>
      <c r="AU3" s="28">
        <f>IF(AS3+AT3=0,"",AS3/(AS3+AT3))</f>
        <v/>
      </c>
      <c r="AV3" s="26">
        <f>AS3+AT3</f>
        <v/>
      </c>
      <c r="AW3" s="26">
        <f>SUM($AV$2:AV3)</f>
        <v/>
      </c>
      <c r="AZ3" s="26">
        <f>IF(B3="",0,B3)</f>
        <v/>
      </c>
      <c r="BA3" s="26">
        <f>IF(C3="",0,C3)</f>
        <v/>
      </c>
      <c r="BB3" s="26">
        <f>IF(D3="",0,D3)</f>
        <v/>
      </c>
      <c r="BC3" s="26">
        <f>IF(E3="",0,E3)</f>
        <v/>
      </c>
      <c r="BD3" s="26">
        <f>IF(F3="",0,F3)</f>
        <v/>
      </c>
      <c r="BE3" s="26">
        <f>IF(G3="",0,G3)</f>
        <v/>
      </c>
      <c r="BF3" s="26">
        <f>IF(H3="",0,H3)</f>
        <v/>
      </c>
      <c r="BG3" s="26">
        <f>IF(I3="",0,I3)</f>
        <v/>
      </c>
      <c r="BH3" s="26">
        <f>IF(J3="",0,J3)</f>
        <v/>
      </c>
      <c r="BI3" s="26">
        <f>IF(K3="",0,K3)</f>
        <v/>
      </c>
    </row>
    <row r="4" ht="22.5" customHeight="1">
      <c r="A4" s="19" t="inlineStr">
        <is>
          <t>Tema 3</t>
        </is>
      </c>
      <c r="B4" s="86" t="n">
        <v>46179</v>
      </c>
      <c r="C4" s="87">
        <f>IF($B4="","",IF(R4&lt;&gt;"",R4,(B4+INDEX(INTERVALOS,COLUMN()-COLUMN($B$1)))+INDEX(DESPLAZAMIENTO,WEEKDAY(B4+INDEX(INTERVALOS,COLUMN()-COLUMN($B$1)),2))))</f>
        <v/>
      </c>
      <c r="D4" s="88">
        <f>IF($B4="","",IF(S4&lt;&gt;"",S4,(C4+INDEX(INTERVALOS,COLUMN()-COLUMN($B$1)))+INDEX(DESPLAZAMIENTO,WEEKDAY(C4+INDEX(INTERVALOS,COLUMN()-COLUMN($B$1)),2))))</f>
        <v/>
      </c>
      <c r="E4" s="88">
        <f>IF($B4="","",IF(T4&lt;&gt;"",T4,(D4+INDEX(INTERVALOS,COLUMN()-COLUMN($B$1)))+INDEX(DESPLAZAMIENTO,WEEKDAY(D4+INDEX(INTERVALOS,COLUMN()-COLUMN($B$1)),2))))</f>
        <v/>
      </c>
      <c r="F4" s="77">
        <f>IF($B4="","",IF(U4&lt;&gt;"",U4,(E4+INDEX(INTERVALOS,COLUMN()-COLUMN($B$1)))+INDEX(DESPLAZAMIENTO,WEEKDAY(E4+INDEX(INTERVALOS,COLUMN()-COLUMN($B$1)),2))))</f>
        <v/>
      </c>
      <c r="G4" s="78">
        <f>IF($B4="","",IF(V4&lt;&gt;"",V4,(F4+INDEX(INTERVALOS,COLUMN()-COLUMN($B$1)))+INDEX(DESPLAZAMIENTO,WEEKDAY(F4+INDEX(INTERVALOS,COLUMN()-COLUMN($B$1)),2))))</f>
        <v/>
      </c>
      <c r="H4" s="78">
        <f>IF($B4="","",IF(W4&lt;&gt;"",W4,(G4+INDEX(INTERVALOS,COLUMN()-COLUMN($B$1)))+INDEX(DESPLAZAMIENTO,WEEKDAY(G4+INDEX(INTERVALOS,COLUMN()-COLUMN($B$1)),2))))</f>
        <v/>
      </c>
      <c r="I4" s="78">
        <f>IF($B4="","",IF(X4&lt;&gt;"",X4,(H4+INDEX(INTERVALOS,COLUMN()-COLUMN($B$1)))+INDEX(DESPLAZAMIENTO,WEEKDAY(H4+INDEX(INTERVALOS,COLUMN()-COLUMN($B$1)),2))))</f>
        <v/>
      </c>
      <c r="J4" s="78">
        <f>IF($B4="","",IF(Y4&lt;&gt;"",Y4,(I4+INDEX(INTERVALOS,COLUMN()-COLUMN($B$1)))+INDEX(DESPLAZAMIENTO,WEEKDAY(I4+INDEX(INTERVALOS,COLUMN()-COLUMN($B$1)),2))))</f>
        <v/>
      </c>
      <c r="K4" s="78">
        <f>IF($B4="","",IF(Z4&lt;&gt;"",Z4,(J4+INDEX(INTERVALOS,COLUMN()-COLUMN($B$1)))+INDEX(DESPLAZAMIENTO,WEEKDAY(J4+INDEX(INTERVALOS,COLUMN()-COLUMN($B$1)),2))))</f>
        <v/>
      </c>
      <c r="M4" s="18" t="inlineStr">
        <is>
          <t>Miércoles</t>
        </is>
      </c>
      <c r="O4" s="18" t="inlineStr">
        <is>
          <t>Miércoles</t>
        </is>
      </c>
      <c r="P4" s="26">
        <f>IF(COUNTIF(DIAS_ESTUDIO,$O$4)&gt;0,0,IF(COUNTIF(DIAS_ESTUDIO,$O$5)&gt;0,1,IF(COUNTIF(DIAS_ESTUDIO,$O$6)&gt;0,2,IF(COUNTIF(DIAS_ESTUDIO,$O$7)&gt;0,3,IF(COUNTIF(DIAS_ESTUDIO,$O$8)&gt;0,4,IF(COUNTIF(DIAS_ESTUDIO,$O$2)&gt;0,5,IF(COUNTIF(DIAS_ESTUDIO,$O$3)&gt;0,6,0)))))))</f>
        <v/>
      </c>
      <c r="R4" s="79" t="n">
        <v>46181</v>
      </c>
      <c r="S4" s="79" t="n">
        <v>46188</v>
      </c>
      <c r="T4" s="79" t="n">
        <v>46199</v>
      </c>
      <c r="AM4" s="17" t="inlineStr">
        <is>
          <t>Días por semana</t>
        </is>
      </c>
      <c r="AN4" s="26" t="n">
        <v>7</v>
      </c>
      <c r="AP4" s="26" t="n">
        <v>3</v>
      </c>
      <c r="AQ4" s="79">
        <f>IF($AN$3="","",$AN$3+(AP4-1)*DIAS_POR_SEMANA)</f>
        <v/>
      </c>
      <c r="AR4" s="79">
        <f>IF(AQ4="","",AQ4+DIAS_POR_SEMANA-1)</f>
        <v/>
      </c>
      <c r="AS4" s="26">
        <f>IF(AQ4="",0,SUMPRODUCT(($AB$2:$AK$41=ESTADO_EXITO)*($AZ$2:$BI$41&gt;=AQ4)*($AZ$2:$BI$41&lt;=AR4)))</f>
        <v/>
      </c>
      <c r="AT4" s="26">
        <f>IF(AQ4="",0,SUMPRODUCT(($AB$2:$AK$41=ESTADO_FALLO)*($AZ$2:$BI$41&gt;=AQ4)*($AZ$2:$BI$41&lt;=AR4)))</f>
        <v/>
      </c>
      <c r="AU4" s="28">
        <f>IF(AS4+AT4=0,"",AS4/(AS4+AT4))</f>
        <v/>
      </c>
      <c r="AV4" s="26">
        <f>AS4+AT4</f>
        <v/>
      </c>
      <c r="AW4" s="26">
        <f>SUM($AV$2:AV4)</f>
        <v/>
      </c>
      <c r="AX4" s="28">
        <f>IF(COUNTIFS(AU2:AU4,"&gt;=0")=0,"",SUM(AU2:AU4)/COUNTIFS(AU2:AU4,"&gt;=0"))</f>
        <v/>
      </c>
      <c r="AZ4" s="26">
        <f>IF(B4="",0,B4)</f>
        <v/>
      </c>
      <c r="BA4" s="26">
        <f>IF(C4="",0,C4)</f>
        <v/>
      </c>
      <c r="BB4" s="26">
        <f>IF(D4="",0,D4)</f>
        <v/>
      </c>
      <c r="BC4" s="26">
        <f>IF(E4="",0,E4)</f>
        <v/>
      </c>
      <c r="BD4" s="26">
        <f>IF(F4="",0,F4)</f>
        <v/>
      </c>
      <c r="BE4" s="26">
        <f>IF(G4="",0,G4)</f>
        <v/>
      </c>
      <c r="BF4" s="26">
        <f>IF(H4="",0,H4)</f>
        <v/>
      </c>
      <c r="BG4" s="26">
        <f>IF(I4="",0,I4)</f>
        <v/>
      </c>
      <c r="BH4" s="26">
        <f>IF(J4="",0,J4)</f>
        <v/>
      </c>
      <c r="BI4" s="26">
        <f>IF(K4="",0,K4)</f>
        <v/>
      </c>
    </row>
    <row r="5" ht="22.5" customHeight="1">
      <c r="A5" s="39" t="inlineStr">
        <is>
          <t>Tema 4</t>
        </is>
      </c>
      <c r="B5" s="89" t="n">
        <v>46183</v>
      </c>
      <c r="C5" s="90">
        <f>IF($B5="","",IF(R5&lt;&gt;"",R5,(B5+INDEX(INTERVALOS,COLUMN()-COLUMN($B$1)))+INDEX(DESPLAZAMIENTO,WEEKDAY(B5+INDEX(INTERVALOS,COLUMN()-COLUMN($B$1)),2))))</f>
        <v/>
      </c>
      <c r="D5" s="83">
        <f>IF($B5="","",IF(S5&lt;&gt;"",S5,(C5+INDEX(INTERVALOS,COLUMN()-COLUMN($B$1)))+INDEX(DESPLAZAMIENTO,WEEKDAY(C5+INDEX(INTERVALOS,COLUMN()-COLUMN($B$1)),2))))</f>
        <v/>
      </c>
      <c r="E5" s="83">
        <f>IF($B5="","",IF(T5&lt;&gt;"",T5,(D5+INDEX(INTERVALOS,COLUMN()-COLUMN($B$1)))+INDEX(DESPLAZAMIENTO,WEEKDAY(D5+INDEX(INTERVALOS,COLUMN()-COLUMN($B$1)),2))))</f>
        <v/>
      </c>
      <c r="F5" s="84">
        <f>IF($B5="","",IF(U5&lt;&gt;"",U5,(E5+INDEX(INTERVALOS,COLUMN()-COLUMN($B$1)))+INDEX(DESPLAZAMIENTO,WEEKDAY(E5+INDEX(INTERVALOS,COLUMN()-COLUMN($B$1)),2))))</f>
        <v/>
      </c>
      <c r="G5" s="85">
        <f>IF($B5="","",IF(V5&lt;&gt;"",V5,(F5+INDEX(INTERVALOS,COLUMN()-COLUMN($B$1)))+INDEX(DESPLAZAMIENTO,WEEKDAY(F5+INDEX(INTERVALOS,COLUMN()-COLUMN($B$1)),2))))</f>
        <v/>
      </c>
      <c r="H5" s="85">
        <f>IF($B5="","",IF(W5&lt;&gt;"",W5,(G5+INDEX(INTERVALOS,COLUMN()-COLUMN($B$1)))+INDEX(DESPLAZAMIENTO,WEEKDAY(G5+INDEX(INTERVALOS,COLUMN()-COLUMN($B$1)),2))))</f>
        <v/>
      </c>
      <c r="I5" s="85">
        <f>IF($B5="","",IF(X5&lt;&gt;"",X5,(H5+INDEX(INTERVALOS,COLUMN()-COLUMN($B$1)))+INDEX(DESPLAZAMIENTO,WEEKDAY(H5+INDEX(INTERVALOS,COLUMN()-COLUMN($B$1)),2))))</f>
        <v/>
      </c>
      <c r="J5" s="85">
        <f>IF($B5="","",IF(Y5&lt;&gt;"",Y5,(I5+INDEX(INTERVALOS,COLUMN()-COLUMN($B$1)))+INDEX(DESPLAZAMIENTO,WEEKDAY(I5+INDEX(INTERVALOS,COLUMN()-COLUMN($B$1)),2))))</f>
        <v/>
      </c>
      <c r="K5" s="85">
        <f>IF($B5="","",IF(Z5&lt;&gt;"",Z5,(J5+INDEX(INTERVALOS,COLUMN()-COLUMN($B$1)))+INDEX(DESPLAZAMIENTO,WEEKDAY(J5+INDEX(INTERVALOS,COLUMN()-COLUMN($B$1)),2))))</f>
        <v/>
      </c>
      <c r="M5" s="18" t="inlineStr">
        <is>
          <t>Jueves</t>
        </is>
      </c>
      <c r="O5" s="18" t="inlineStr">
        <is>
          <t>Jueves</t>
        </is>
      </c>
      <c r="P5" s="26">
        <f>IF(COUNTIF(DIAS_ESTUDIO,$O$5)&gt;0,0,IF(COUNTIF(DIAS_ESTUDIO,$O$6)&gt;0,1,IF(COUNTIF(DIAS_ESTUDIO,$O$7)&gt;0,2,IF(COUNTIF(DIAS_ESTUDIO,$O$8)&gt;0,3,IF(COUNTIF(DIAS_ESTUDIO,$O$2)&gt;0,4,IF(COUNTIF(DIAS_ESTUDIO,$O$3)&gt;0,5,IF(COUNTIF(DIAS_ESTUDIO,$O$4)&gt;0,6,0)))))))</f>
        <v/>
      </c>
      <c r="R5" s="79" t="n">
        <v>46186</v>
      </c>
      <c r="S5" s="79" t="n">
        <v>46193</v>
      </c>
      <c r="T5" s="79" t="n">
        <v>46200</v>
      </c>
      <c r="AM5" s="17" t="inlineStr">
        <is>
          <t>Ventana «próximos días»</t>
        </is>
      </c>
      <c r="AN5" s="26" t="n">
        <v>7</v>
      </c>
      <c r="AP5" s="26" t="n">
        <v>4</v>
      </c>
      <c r="AQ5" s="79">
        <f>IF($AN$3="","",$AN$3+(AP5-1)*DIAS_POR_SEMANA)</f>
        <v/>
      </c>
      <c r="AR5" s="79">
        <f>IF(AQ5="","",AQ5+DIAS_POR_SEMANA-1)</f>
        <v/>
      </c>
      <c r="AS5" s="26">
        <f>IF(AQ5="",0,SUMPRODUCT(($AB$2:$AK$41=ESTADO_EXITO)*($AZ$2:$BI$41&gt;=AQ5)*($AZ$2:$BI$41&lt;=AR5)))</f>
        <v/>
      </c>
      <c r="AT5" s="26">
        <f>IF(AQ5="",0,SUMPRODUCT(($AB$2:$AK$41=ESTADO_FALLO)*($AZ$2:$BI$41&gt;=AQ5)*($AZ$2:$BI$41&lt;=AR5)))</f>
        <v/>
      </c>
      <c r="AU5" s="28">
        <f>IF(AS5+AT5=0,"",AS5/(AS5+AT5))</f>
        <v/>
      </c>
      <c r="AV5" s="26">
        <f>AS5+AT5</f>
        <v/>
      </c>
      <c r="AW5" s="26">
        <f>SUM($AV$2:AV5)</f>
        <v/>
      </c>
      <c r="AX5" s="28">
        <f>IF(COUNTIFS(AU3:AU5,"&gt;=0")=0,"",SUM(AU3:AU5)/COUNTIFS(AU3:AU5,"&gt;=0"))</f>
        <v/>
      </c>
      <c r="AZ5" s="26">
        <f>IF(B5="",0,B5)</f>
        <v/>
      </c>
      <c r="BA5" s="26">
        <f>IF(C5="",0,C5)</f>
        <v/>
      </c>
      <c r="BB5" s="26">
        <f>IF(D5="",0,D5)</f>
        <v/>
      </c>
      <c r="BC5" s="26">
        <f>IF(E5="",0,E5)</f>
        <v/>
      </c>
      <c r="BD5" s="26">
        <f>IF(F5="",0,F5)</f>
        <v/>
      </c>
      <c r="BE5" s="26">
        <f>IF(G5="",0,G5)</f>
        <v/>
      </c>
      <c r="BF5" s="26">
        <f>IF(H5="",0,H5)</f>
        <v/>
      </c>
      <c r="BG5" s="26">
        <f>IF(I5="",0,I5)</f>
        <v/>
      </c>
      <c r="BH5" s="26">
        <f>IF(J5="",0,J5)</f>
        <v/>
      </c>
      <c r="BI5" s="26">
        <f>IF(K5="",0,K5)</f>
        <v/>
      </c>
    </row>
    <row r="6" ht="22.5" customHeight="1">
      <c r="A6" s="42" t="inlineStr">
        <is>
          <t>Tema 5</t>
        </is>
      </c>
      <c r="B6" s="91" t="n">
        <v>46186</v>
      </c>
      <c r="C6" s="88">
        <f>IF($B6="","",IF(R6&lt;&gt;"",R6,(B6+INDEX(INTERVALOS,COLUMN()-COLUMN($B$1)))+INDEX(DESPLAZAMIENTO,WEEKDAY(B6+INDEX(INTERVALOS,COLUMN()-COLUMN($B$1)),2))))</f>
        <v/>
      </c>
      <c r="D6" s="88">
        <f>IF($B6="","",IF(S6&lt;&gt;"",S6,(C6+INDEX(INTERVALOS,COLUMN()-COLUMN($B$1)))+INDEX(DESPLAZAMIENTO,WEEKDAY(C6+INDEX(INTERVALOS,COLUMN()-COLUMN($B$1)),2))))</f>
        <v/>
      </c>
      <c r="E6" s="92">
        <f>IF($B6="","",IF(T6&lt;&gt;"",T6,(D6+INDEX(INTERVALOS,COLUMN()-COLUMN($B$1)))+INDEX(DESPLAZAMIENTO,WEEKDAY(D6+INDEX(INTERVALOS,COLUMN()-COLUMN($B$1)),2))))</f>
        <v/>
      </c>
      <c r="F6" s="93">
        <f>IF($B6="","",IF(U6&lt;&gt;"",U6,(E6+INDEX(INTERVALOS,COLUMN()-COLUMN($B$1)))+INDEX(DESPLAZAMIENTO,WEEKDAY(E6+INDEX(INTERVALOS,COLUMN()-COLUMN($B$1)),2))))</f>
        <v/>
      </c>
      <c r="G6" s="78">
        <f>IF($B6="","",IF(V6&lt;&gt;"",V6,(F6+INDEX(INTERVALOS,COLUMN()-COLUMN($B$1)))+INDEX(DESPLAZAMIENTO,WEEKDAY(F6+INDEX(INTERVALOS,COLUMN()-COLUMN($B$1)),2))))</f>
        <v/>
      </c>
      <c r="H6" s="78">
        <f>IF($B6="","",IF(W6&lt;&gt;"",W6,(G6+INDEX(INTERVALOS,COLUMN()-COLUMN($B$1)))+INDEX(DESPLAZAMIENTO,WEEKDAY(G6+INDEX(INTERVALOS,COLUMN()-COLUMN($B$1)),2))))</f>
        <v/>
      </c>
      <c r="I6" s="78">
        <f>IF($B6="","",IF(X6&lt;&gt;"",X6,(H6+INDEX(INTERVALOS,COLUMN()-COLUMN($B$1)))+INDEX(DESPLAZAMIENTO,WEEKDAY(H6+INDEX(INTERVALOS,COLUMN()-COLUMN($B$1)),2))))</f>
        <v/>
      </c>
      <c r="J6" s="78">
        <f>IF($B6="","",IF(Y6&lt;&gt;"",Y6,(I6+INDEX(INTERVALOS,COLUMN()-COLUMN($B$1)))+INDEX(DESPLAZAMIENTO,WEEKDAY(I6+INDEX(INTERVALOS,COLUMN()-COLUMN($B$1)),2))))</f>
        <v/>
      </c>
      <c r="K6" s="78">
        <f>IF($B6="","",IF(Z6&lt;&gt;"",Z6,(J6+INDEX(INTERVALOS,COLUMN()-COLUMN($B$1)))+INDEX(DESPLAZAMIENTO,WEEKDAY(J6+INDEX(INTERVALOS,COLUMN()-COLUMN($B$1)),2))))</f>
        <v/>
      </c>
      <c r="O6" s="18" t="inlineStr">
        <is>
          <t>Viernes</t>
        </is>
      </c>
      <c r="P6" s="26">
        <f>IF(COUNTIF(DIAS_ESTUDIO,$O$6)&gt;0,0,IF(COUNTIF(DIAS_ESTUDIO,$O$7)&gt;0,1,IF(COUNTIF(DIAS_ESTUDIO,$O$8)&gt;0,2,IF(COUNTIF(DIAS_ESTUDIO,$O$2)&gt;0,3,IF(COUNTIF(DIAS_ESTUDIO,$O$3)&gt;0,4,IF(COUNTIF(DIAS_ESTUDIO,$O$4)&gt;0,5,IF(COUNTIF(DIAS_ESTUDIO,$O$5)&gt;0,6,0)))))))</f>
        <v/>
      </c>
      <c r="R6" s="79" t="n">
        <v>46189</v>
      </c>
      <c r="S6" s="79" t="n">
        <v>46197</v>
      </c>
      <c r="T6" s="79" t="n">
        <v>46207</v>
      </c>
      <c r="AP6" s="26" t="n">
        <v>5</v>
      </c>
      <c r="AQ6" s="79">
        <f>IF($AN$3="","",$AN$3+(AP6-1)*DIAS_POR_SEMANA)</f>
        <v/>
      </c>
      <c r="AR6" s="79">
        <f>IF(AQ6="","",AQ6+DIAS_POR_SEMANA-1)</f>
        <v/>
      </c>
      <c r="AS6" s="26">
        <f>IF(AQ6="",0,SUMPRODUCT(($AB$2:$AK$41=ESTADO_EXITO)*($AZ$2:$BI$41&gt;=AQ6)*($AZ$2:$BI$41&lt;=AR6)))</f>
        <v/>
      </c>
      <c r="AT6" s="26">
        <f>IF(AQ6="",0,SUMPRODUCT(($AB$2:$AK$41=ESTADO_FALLO)*($AZ$2:$BI$41&gt;=AQ6)*($AZ$2:$BI$41&lt;=AR6)))</f>
        <v/>
      </c>
      <c r="AU6" s="28">
        <f>IF(AS6+AT6=0,"",AS6/(AS6+AT6))</f>
        <v/>
      </c>
      <c r="AV6" s="26">
        <f>AS6+AT6</f>
        <v/>
      </c>
      <c r="AW6" s="26">
        <f>SUM($AV$2:AV6)</f>
        <v/>
      </c>
      <c r="AX6" s="28">
        <f>IF(COUNTIFS(AU4:AU6,"&gt;=0")=0,"",SUM(AU4:AU6)/COUNTIFS(AU4:AU6,"&gt;=0"))</f>
        <v/>
      </c>
      <c r="AZ6" s="26">
        <f>IF(B6="",0,B6)</f>
        <v/>
      </c>
      <c r="BA6" s="26">
        <f>IF(C6="",0,C6)</f>
        <v/>
      </c>
      <c r="BB6" s="26">
        <f>IF(D6="",0,D6)</f>
        <v/>
      </c>
      <c r="BC6" s="26">
        <f>IF(E6="",0,E6)</f>
        <v/>
      </c>
      <c r="BD6" s="26">
        <f>IF(F6="",0,F6)</f>
        <v/>
      </c>
      <c r="BE6" s="26">
        <f>IF(G6="",0,G6)</f>
        <v/>
      </c>
      <c r="BF6" s="26">
        <f>IF(H6="",0,H6)</f>
        <v/>
      </c>
      <c r="BG6" s="26">
        <f>IF(I6="",0,I6)</f>
        <v/>
      </c>
      <c r="BH6" s="26">
        <f>IF(J6="",0,J6)</f>
        <v/>
      </c>
      <c r="BI6" s="26">
        <f>IF(K6="",0,K6)</f>
        <v/>
      </c>
    </row>
    <row r="7" ht="22.5" customHeight="1">
      <c r="A7" s="39" t="inlineStr">
        <is>
          <t>Tema 6</t>
        </is>
      </c>
      <c r="B7" s="94" t="n">
        <v>46190</v>
      </c>
      <c r="C7" s="90">
        <f>IF($B7="","",IF(R7&lt;&gt;"",R7,(B7+INDEX(INTERVALOS,COLUMN()-COLUMN($B$1)))+INDEX(DESPLAZAMIENTO,WEEKDAY(B7+INDEX(INTERVALOS,COLUMN()-COLUMN($B$1)),2))))</f>
        <v/>
      </c>
      <c r="D7" s="95">
        <f>IF($B7="","",IF(S7&lt;&gt;"",S7,(C7+INDEX(INTERVALOS,COLUMN()-COLUMN($B$1)))+INDEX(DESPLAZAMIENTO,WEEKDAY(C7+INDEX(INTERVALOS,COLUMN()-COLUMN($B$1)),2))))</f>
        <v/>
      </c>
      <c r="E7" s="96">
        <f>IF($B7="","",IF(T7&lt;&gt;"",T7,(D7+INDEX(INTERVALOS,COLUMN()-COLUMN($B$1)))+INDEX(DESPLAZAMIENTO,WEEKDAY(D7+INDEX(INTERVALOS,COLUMN()-COLUMN($B$1)),2))))</f>
        <v/>
      </c>
      <c r="F7" s="85">
        <f>IF($B7="","",IF(U7&lt;&gt;"",U7,(E7+INDEX(INTERVALOS,COLUMN()-COLUMN($B$1)))+INDEX(DESPLAZAMIENTO,WEEKDAY(E7+INDEX(INTERVALOS,COLUMN()-COLUMN($B$1)),2))))</f>
        <v/>
      </c>
      <c r="G7" s="85">
        <f>IF($B7="","",IF(V7&lt;&gt;"",V7,(F7+INDEX(INTERVALOS,COLUMN()-COLUMN($B$1)))+INDEX(DESPLAZAMIENTO,WEEKDAY(F7+INDEX(INTERVALOS,COLUMN()-COLUMN($B$1)),2))))</f>
        <v/>
      </c>
      <c r="H7" s="85">
        <f>IF($B7="","",IF(W7&lt;&gt;"",W7,(G7+INDEX(INTERVALOS,COLUMN()-COLUMN($B$1)))+INDEX(DESPLAZAMIENTO,WEEKDAY(G7+INDEX(INTERVALOS,COLUMN()-COLUMN($B$1)),2))))</f>
        <v/>
      </c>
      <c r="I7" s="85">
        <f>IF($B7="","",IF(X7&lt;&gt;"",X7,(H7+INDEX(INTERVALOS,COLUMN()-COLUMN($B$1)))+INDEX(DESPLAZAMIENTO,WEEKDAY(H7+INDEX(INTERVALOS,COLUMN()-COLUMN($B$1)),2))))</f>
        <v/>
      </c>
      <c r="J7" s="85">
        <f>IF($B7="","",IF(Y7&lt;&gt;"",Y7,(I7+INDEX(INTERVALOS,COLUMN()-COLUMN($B$1)))+INDEX(DESPLAZAMIENTO,WEEKDAY(I7+INDEX(INTERVALOS,COLUMN()-COLUMN($B$1)),2))))</f>
        <v/>
      </c>
      <c r="K7" s="85">
        <f>IF($B7="","",IF(Z7&lt;&gt;"",Z7,(J7+INDEX(INTERVALOS,COLUMN()-COLUMN($B$1)))+INDEX(DESPLAZAMIENTO,WEEKDAY(J7+INDEX(INTERVALOS,COLUMN()-COLUMN($B$1)),2))))</f>
        <v/>
      </c>
      <c r="O7" s="18" t="inlineStr">
        <is>
          <t>Sábado</t>
        </is>
      </c>
      <c r="P7" s="26">
        <f>IF(COUNTIF(DIAS_ESTUDIO,$O$7)&gt;0,0,IF(COUNTIF(DIAS_ESTUDIO,$O$8)&gt;0,1,IF(COUNTIF(DIAS_ESTUDIO,$O$2)&gt;0,2,IF(COUNTIF(DIAS_ESTUDIO,$O$3)&gt;0,3,IF(COUNTIF(DIAS_ESTUDIO,$O$4)&gt;0,4,IF(COUNTIF(DIAS_ESTUDIO,$O$5)&gt;0,5,IF(COUNTIF(DIAS_ESTUDIO,$O$6)&gt;0,6,0)))))))</f>
        <v/>
      </c>
      <c r="R7" s="79" t="n">
        <v>46192</v>
      </c>
      <c r="S7" s="79" t="n">
        <v>46200</v>
      </c>
      <c r="AP7" s="26" t="n">
        <v>6</v>
      </c>
      <c r="AQ7" s="79">
        <f>IF($AN$3="","",$AN$3+(AP7-1)*DIAS_POR_SEMANA)</f>
        <v/>
      </c>
      <c r="AR7" s="79">
        <f>IF(AQ7="","",AQ7+DIAS_POR_SEMANA-1)</f>
        <v/>
      </c>
      <c r="AS7" s="26">
        <f>IF(AQ7="",0,SUMPRODUCT(($AB$2:$AK$41=ESTADO_EXITO)*($AZ$2:$BI$41&gt;=AQ7)*($AZ$2:$BI$41&lt;=AR7)))</f>
        <v/>
      </c>
      <c r="AT7" s="26">
        <f>IF(AQ7="",0,SUMPRODUCT(($AB$2:$AK$41=ESTADO_FALLO)*($AZ$2:$BI$41&gt;=AQ7)*($AZ$2:$BI$41&lt;=AR7)))</f>
        <v/>
      </c>
      <c r="AU7" s="28">
        <f>IF(AS7+AT7=0,"",AS7/(AS7+AT7))</f>
        <v/>
      </c>
      <c r="AV7" s="26">
        <f>AS7+AT7</f>
        <v/>
      </c>
      <c r="AW7" s="26">
        <f>SUM($AV$2:AV7)</f>
        <v/>
      </c>
      <c r="AX7" s="28">
        <f>IF(COUNTIFS(AU5:AU7,"&gt;=0")=0,"",SUM(AU5:AU7)/COUNTIFS(AU5:AU7,"&gt;=0"))</f>
        <v/>
      </c>
      <c r="AZ7" s="26">
        <f>IF(B7="",0,B7)</f>
        <v/>
      </c>
      <c r="BA7" s="26">
        <f>IF(C7="",0,C7)</f>
        <v/>
      </c>
      <c r="BB7" s="26">
        <f>IF(D7="",0,D7)</f>
        <v/>
      </c>
      <c r="BC7" s="26">
        <f>IF(E7="",0,E7)</f>
        <v/>
      </c>
      <c r="BD7" s="26">
        <f>IF(F7="",0,F7)</f>
        <v/>
      </c>
      <c r="BE7" s="26">
        <f>IF(G7="",0,G7)</f>
        <v/>
      </c>
      <c r="BF7" s="26">
        <f>IF(H7="",0,H7)</f>
        <v/>
      </c>
      <c r="BG7" s="26">
        <f>IF(I7="",0,I7)</f>
        <v/>
      </c>
      <c r="BH7" s="26">
        <f>IF(J7="",0,J7)</f>
        <v/>
      </c>
      <c r="BI7" s="26">
        <f>IF(K7="",0,K7)</f>
        <v/>
      </c>
    </row>
    <row r="8" ht="22.5" customHeight="1">
      <c r="A8" s="42" t="inlineStr">
        <is>
          <t>Tema 7</t>
        </is>
      </c>
      <c r="B8" s="97" t="n">
        <v>46195</v>
      </c>
      <c r="C8" s="98">
        <f>IF($B8="","",IF(R8&lt;&gt;"",R8,(B8+INDEX(INTERVALOS,COLUMN()-COLUMN($B$1)))+INDEX(DESPLAZAMIENTO,WEEKDAY(B8+INDEX(INTERVALOS,COLUMN()-COLUMN($B$1)),2))))</f>
        <v/>
      </c>
      <c r="D8" s="99">
        <f>IF($B8="","",IF(S8&lt;&gt;"",S8,(C8+INDEX(INTERVALOS,COLUMN()-COLUMN($B$1)))+INDEX(DESPLAZAMIENTO,WEEKDAY(C8+INDEX(INTERVALOS,COLUMN()-COLUMN($B$1)),2))))</f>
        <v/>
      </c>
      <c r="E8" s="77">
        <f>IF($B8="","",IF(T8&lt;&gt;"",T8,(D8+INDEX(INTERVALOS,COLUMN()-COLUMN($B$1)))+INDEX(DESPLAZAMIENTO,WEEKDAY(D8+INDEX(INTERVALOS,COLUMN()-COLUMN($B$1)),2))))</f>
        <v/>
      </c>
      <c r="F8" s="78">
        <f>IF($B8="","",IF(U8&lt;&gt;"",U8,(E8+INDEX(INTERVALOS,COLUMN()-COLUMN($B$1)))+INDEX(DESPLAZAMIENTO,WEEKDAY(E8+INDEX(INTERVALOS,COLUMN()-COLUMN($B$1)),2))))</f>
        <v/>
      </c>
      <c r="G8" s="78">
        <f>IF($B8="","",IF(V8&lt;&gt;"",V8,(F8+INDEX(INTERVALOS,COLUMN()-COLUMN($B$1)))+INDEX(DESPLAZAMIENTO,WEEKDAY(F8+INDEX(INTERVALOS,COLUMN()-COLUMN($B$1)),2))))</f>
        <v/>
      </c>
      <c r="H8" s="78">
        <f>IF($B8="","",IF(W8&lt;&gt;"",W8,(G8+INDEX(INTERVALOS,COLUMN()-COLUMN($B$1)))+INDEX(DESPLAZAMIENTO,WEEKDAY(G8+INDEX(INTERVALOS,COLUMN()-COLUMN($B$1)),2))))</f>
        <v/>
      </c>
      <c r="I8" s="78">
        <f>IF($B8="","",IF(X8&lt;&gt;"",X8,(H8+INDEX(INTERVALOS,COLUMN()-COLUMN($B$1)))+INDEX(DESPLAZAMIENTO,WEEKDAY(H8+INDEX(INTERVALOS,COLUMN()-COLUMN($B$1)),2))))</f>
        <v/>
      </c>
      <c r="J8" s="78">
        <f>IF($B8="","",IF(Y8&lt;&gt;"",Y8,(I8+INDEX(INTERVALOS,COLUMN()-COLUMN($B$1)))+INDEX(DESPLAZAMIENTO,WEEKDAY(I8+INDEX(INTERVALOS,COLUMN()-COLUMN($B$1)),2))))</f>
        <v/>
      </c>
      <c r="K8" s="78">
        <f>IF($B8="","",IF(Z8&lt;&gt;"",Z8,(J8+INDEX(INTERVALOS,COLUMN()-COLUMN($B$1)))+INDEX(DESPLAZAMIENTO,WEEKDAY(J8+INDEX(INTERVALOS,COLUMN()-COLUMN($B$1)),2))))</f>
        <v/>
      </c>
      <c r="M8" s="17" t="inlineStr">
        <is>
          <t>Intervalos (días)</t>
        </is>
      </c>
      <c r="O8" s="18" t="inlineStr">
        <is>
          <t>Domingo</t>
        </is>
      </c>
      <c r="P8" s="26">
        <f>IF(COUNTIF(DIAS_ESTUDIO,$O$8)&gt;0,0,IF(COUNTIF(DIAS_ESTUDIO,$O$2)&gt;0,1,IF(COUNTIF(DIAS_ESTUDIO,$O$3)&gt;0,2,IF(COUNTIF(DIAS_ESTUDIO,$O$4)&gt;0,3,IF(COUNTIF(DIAS_ESTUDIO,$O$5)&gt;0,4,IF(COUNTIF(DIAS_ESTUDIO,$O$6)&gt;0,5,IF(COUNTIF(DIAS_ESTUDIO,$O$7)&gt;0,6,0)))))))</f>
        <v/>
      </c>
      <c r="R8" s="79" t="n">
        <v>46198</v>
      </c>
      <c r="S8" s="79" t="n">
        <v>46200</v>
      </c>
      <c r="AP8" s="26" t="n">
        <v>7</v>
      </c>
      <c r="AQ8" s="79">
        <f>IF($AN$3="","",$AN$3+(AP8-1)*DIAS_POR_SEMANA)</f>
        <v/>
      </c>
      <c r="AR8" s="79">
        <f>IF(AQ8="","",AQ8+DIAS_POR_SEMANA-1)</f>
        <v/>
      </c>
      <c r="AS8" s="26">
        <f>IF(AQ8="",0,SUMPRODUCT(($AB$2:$AK$41=ESTADO_EXITO)*($AZ$2:$BI$41&gt;=AQ8)*($AZ$2:$BI$41&lt;=AR8)))</f>
        <v/>
      </c>
      <c r="AT8" s="26">
        <f>IF(AQ8="",0,SUMPRODUCT(($AB$2:$AK$41=ESTADO_FALLO)*($AZ$2:$BI$41&gt;=AQ8)*($AZ$2:$BI$41&lt;=AR8)))</f>
        <v/>
      </c>
      <c r="AU8" s="28">
        <f>IF(AS8+AT8=0,"",AS8/(AS8+AT8))</f>
        <v/>
      </c>
      <c r="AV8" s="26">
        <f>AS8+AT8</f>
        <v/>
      </c>
      <c r="AW8" s="26">
        <f>SUM($AV$2:AV8)</f>
        <v/>
      </c>
      <c r="AX8" s="28">
        <f>IF(COUNTIFS(AU6:AU8,"&gt;=0")=0,"",SUM(AU6:AU8)/COUNTIFS(AU6:AU8,"&gt;=0"))</f>
        <v/>
      </c>
      <c r="AZ8" s="26">
        <f>IF(B8="",0,B8)</f>
        <v/>
      </c>
      <c r="BA8" s="26">
        <f>IF(C8="",0,C8)</f>
        <v/>
      </c>
      <c r="BB8" s="26">
        <f>IF(D8="",0,D8)</f>
        <v/>
      </c>
      <c r="BC8" s="26">
        <f>IF(E8="",0,E8)</f>
        <v/>
      </c>
      <c r="BD8" s="26">
        <f>IF(F8="",0,F8)</f>
        <v/>
      </c>
      <c r="BE8" s="26">
        <f>IF(G8="",0,G8)</f>
        <v/>
      </c>
      <c r="BF8" s="26">
        <f>IF(H8="",0,H8)</f>
        <v/>
      </c>
      <c r="BG8" s="26">
        <f>IF(I8="",0,I8)</f>
        <v/>
      </c>
      <c r="BH8" s="26">
        <f>IF(J8="",0,J8)</f>
        <v/>
      </c>
      <c r="BI8" s="26">
        <f>IF(K8="",0,K8)</f>
        <v/>
      </c>
    </row>
    <row r="9" ht="22.5" customHeight="1">
      <c r="A9" s="52" t="inlineStr">
        <is>
          <t>Tema 8</t>
        </is>
      </c>
      <c r="B9" s="100" t="n">
        <v>46202</v>
      </c>
      <c r="C9" s="101">
        <f>IF($B9="","",IF(R9&lt;&gt;"",R9,(B9+INDEX(INTERVALOS,COLUMN()-COLUMN($B$1)))+INDEX(DESPLAZAMIENTO,WEEKDAY(B9+INDEX(INTERVALOS,COLUMN()-COLUMN($B$1)),2))))</f>
        <v/>
      </c>
      <c r="D9" s="100">
        <f>IF($B9="","",IF(S9&lt;&gt;"",S9,(C9+INDEX(INTERVALOS,COLUMN()-COLUMN($B$1)))+INDEX(DESPLAZAMIENTO,WEEKDAY(C9+INDEX(INTERVALOS,COLUMN()-COLUMN($B$1)),2))))</f>
        <v/>
      </c>
      <c r="E9" s="85">
        <f>IF($B9="","",IF(T9&lt;&gt;"",T9,(D9+INDEX(INTERVALOS,COLUMN()-COLUMN($B$1)))+INDEX(DESPLAZAMIENTO,WEEKDAY(D9+INDEX(INTERVALOS,COLUMN()-COLUMN($B$1)),2))))</f>
        <v/>
      </c>
      <c r="F9" s="85">
        <f>IF($B9="","",IF(U9&lt;&gt;"",U9,(E9+INDEX(INTERVALOS,COLUMN()-COLUMN($B$1)))+INDEX(DESPLAZAMIENTO,WEEKDAY(E9+INDEX(INTERVALOS,COLUMN()-COLUMN($B$1)),2))))</f>
        <v/>
      </c>
      <c r="G9" s="85">
        <f>IF($B9="","",IF(V9&lt;&gt;"",V9,(F9+INDEX(INTERVALOS,COLUMN()-COLUMN($B$1)))+INDEX(DESPLAZAMIENTO,WEEKDAY(F9+INDEX(INTERVALOS,COLUMN()-COLUMN($B$1)),2))))</f>
        <v/>
      </c>
      <c r="H9" s="85">
        <f>IF($B9="","",IF(W9&lt;&gt;"",W9,(G9+INDEX(INTERVALOS,COLUMN()-COLUMN($B$1)))+INDEX(DESPLAZAMIENTO,WEEKDAY(G9+INDEX(INTERVALOS,COLUMN()-COLUMN($B$1)),2))))</f>
        <v/>
      </c>
      <c r="I9" s="85">
        <f>IF($B9="","",IF(X9&lt;&gt;"",X9,(H9+INDEX(INTERVALOS,COLUMN()-COLUMN($B$1)))+INDEX(DESPLAZAMIENTO,WEEKDAY(H9+INDEX(INTERVALOS,COLUMN()-COLUMN($B$1)),2))))</f>
        <v/>
      </c>
      <c r="J9" s="85">
        <f>IF($B9="","",IF(Y9&lt;&gt;"",Y9,(I9+INDEX(INTERVALOS,COLUMN()-COLUMN($B$1)))+INDEX(DESPLAZAMIENTO,WEEKDAY(I9+INDEX(INTERVALOS,COLUMN()-COLUMN($B$1)),2))))</f>
        <v/>
      </c>
      <c r="K9" s="85">
        <f>IF($B9="","",IF(Z9&lt;&gt;"",Z9,(J9+INDEX(INTERVALOS,COLUMN()-COLUMN($B$1)))+INDEX(DESPLAZAMIENTO,WEEKDAY(J9+INDEX(INTERVALOS,COLUMN()-COLUMN($B$1)),2))))</f>
        <v/>
      </c>
      <c r="M9" s="26" t="n">
        <v>2</v>
      </c>
      <c r="R9" s="79" t="n">
        <v>46204</v>
      </c>
      <c r="AP9" s="26" t="n">
        <v>8</v>
      </c>
      <c r="AQ9" s="79">
        <f>IF($AN$3="","",$AN$3+(AP9-1)*DIAS_POR_SEMANA)</f>
        <v/>
      </c>
      <c r="AR9" s="79">
        <f>IF(AQ9="","",AQ9+DIAS_POR_SEMANA-1)</f>
        <v/>
      </c>
      <c r="AS9" s="26">
        <f>IF(AQ9="",0,SUMPRODUCT(($AB$2:$AK$41=ESTADO_EXITO)*($AZ$2:$BI$41&gt;=AQ9)*($AZ$2:$BI$41&lt;=AR9)))</f>
        <v/>
      </c>
      <c r="AT9" s="26">
        <f>IF(AQ9="",0,SUMPRODUCT(($AB$2:$AK$41=ESTADO_FALLO)*($AZ$2:$BI$41&gt;=AQ9)*($AZ$2:$BI$41&lt;=AR9)))</f>
        <v/>
      </c>
      <c r="AU9" s="28">
        <f>IF(AS9+AT9=0,"",AS9/(AS9+AT9))</f>
        <v/>
      </c>
      <c r="AV9" s="26">
        <f>AS9+AT9</f>
        <v/>
      </c>
      <c r="AW9" s="26">
        <f>SUM($AV$2:AV9)</f>
        <v/>
      </c>
      <c r="AX9" s="28">
        <f>IF(COUNTIFS(AU7:AU9,"&gt;=0")=0,"",SUM(AU7:AU9)/COUNTIFS(AU7:AU9,"&gt;=0"))</f>
        <v/>
      </c>
      <c r="AZ9" s="26">
        <f>IF(B9="",0,B9)</f>
        <v/>
      </c>
      <c r="BA9" s="26">
        <f>IF(C9="",0,C9)</f>
        <v/>
      </c>
      <c r="BB9" s="26">
        <f>IF(D9="",0,D9)</f>
        <v/>
      </c>
      <c r="BC9" s="26">
        <f>IF(E9="",0,E9)</f>
        <v/>
      </c>
      <c r="BD9" s="26">
        <f>IF(F9="",0,F9)</f>
        <v/>
      </c>
      <c r="BE9" s="26">
        <f>IF(G9="",0,G9)</f>
        <v/>
      </c>
      <c r="BF9" s="26">
        <f>IF(H9="",0,H9)</f>
        <v/>
      </c>
      <c r="BG9" s="26">
        <f>IF(I9="",0,I9)</f>
        <v/>
      </c>
      <c r="BH9" s="26">
        <f>IF(J9="",0,J9)</f>
        <v/>
      </c>
      <c r="BI9" s="26">
        <f>IF(K9="",0,K9)</f>
        <v/>
      </c>
    </row>
    <row r="10" ht="22.5" customHeight="1">
      <c r="A10" s="55" t="inlineStr">
        <is>
          <t>Tema 9</t>
        </is>
      </c>
      <c r="B10" s="102" t="n">
        <v>46205</v>
      </c>
      <c r="C10" s="103">
        <f>IF($B10="","",IF(R10&lt;&gt;"",R10,(B10+INDEX(INTERVALOS,COLUMN()-COLUMN($B$1)))+INDEX(DESPLAZAMIENTO,WEEKDAY(B10+INDEX(INTERVALOS,COLUMN()-COLUMN($B$1)),2))))</f>
        <v/>
      </c>
      <c r="D10" s="93">
        <f>IF($B10="","",IF(S10&lt;&gt;"",S10,(C10+INDEX(INTERVALOS,COLUMN()-COLUMN($B$1)))+INDEX(DESPLAZAMIENTO,WEEKDAY(C10+INDEX(INTERVALOS,COLUMN()-COLUMN($B$1)),2))))</f>
        <v/>
      </c>
      <c r="E10" s="78">
        <f>IF($B10="","",IF(T10&lt;&gt;"",T10,(D10+INDEX(INTERVALOS,COLUMN()-COLUMN($B$1)))+INDEX(DESPLAZAMIENTO,WEEKDAY(D10+INDEX(INTERVALOS,COLUMN()-COLUMN($B$1)),2))))</f>
        <v/>
      </c>
      <c r="F10" s="78">
        <f>IF($B10="","",IF(U10&lt;&gt;"",U10,(E10+INDEX(INTERVALOS,COLUMN()-COLUMN($B$1)))+INDEX(DESPLAZAMIENTO,WEEKDAY(E10+INDEX(INTERVALOS,COLUMN()-COLUMN($B$1)),2))))</f>
        <v/>
      </c>
      <c r="G10" s="78">
        <f>IF($B10="","",IF(V10&lt;&gt;"",V10,(F10+INDEX(INTERVALOS,COLUMN()-COLUMN($B$1)))+INDEX(DESPLAZAMIENTO,WEEKDAY(F10+INDEX(INTERVALOS,COLUMN()-COLUMN($B$1)),2))))</f>
        <v/>
      </c>
      <c r="H10" s="78">
        <f>IF($B10="","",IF(W10&lt;&gt;"",W10,(G10+INDEX(INTERVALOS,COLUMN()-COLUMN($B$1)))+INDEX(DESPLAZAMIENTO,WEEKDAY(G10+INDEX(INTERVALOS,COLUMN()-COLUMN($B$1)),2))))</f>
        <v/>
      </c>
      <c r="I10" s="78">
        <f>IF($B10="","",IF(X10&lt;&gt;"",X10,(H10+INDEX(INTERVALOS,COLUMN()-COLUMN($B$1)))+INDEX(DESPLAZAMIENTO,WEEKDAY(H10+INDEX(INTERVALOS,COLUMN()-COLUMN($B$1)),2))))</f>
        <v/>
      </c>
      <c r="J10" s="78">
        <f>IF($B10="","",IF(Y10&lt;&gt;"",Y10,(I10+INDEX(INTERVALOS,COLUMN()-COLUMN($B$1)))+INDEX(DESPLAZAMIENTO,WEEKDAY(I10+INDEX(INTERVALOS,COLUMN()-COLUMN($B$1)),2))))</f>
        <v/>
      </c>
      <c r="K10" s="78">
        <f>IF($B10="","",IF(Z10&lt;&gt;"",Z10,(J10+INDEX(INTERVALOS,COLUMN()-COLUMN($B$1)))+INDEX(DESPLAZAMIENTO,WEEKDAY(J10+INDEX(INTERVALOS,COLUMN()-COLUMN($B$1)),2))))</f>
        <v/>
      </c>
      <c r="M10" s="26" t="n">
        <v>7</v>
      </c>
      <c r="R10" s="79" t="n">
        <v>46207</v>
      </c>
      <c r="AP10" s="26" t="n">
        <v>9</v>
      </c>
      <c r="AQ10" s="79">
        <f>IF($AN$3="","",$AN$3+(AP10-1)*DIAS_POR_SEMANA)</f>
        <v/>
      </c>
      <c r="AR10" s="79">
        <f>IF(AQ10="","",AQ10+DIAS_POR_SEMANA-1)</f>
        <v/>
      </c>
      <c r="AS10" s="26">
        <f>IF(AQ10="",0,SUMPRODUCT(($AB$2:$AK$41=ESTADO_EXITO)*($AZ$2:$BI$41&gt;=AQ10)*($AZ$2:$BI$41&lt;=AR10)))</f>
        <v/>
      </c>
      <c r="AT10" s="26">
        <f>IF(AQ10="",0,SUMPRODUCT(($AB$2:$AK$41=ESTADO_FALLO)*($AZ$2:$BI$41&gt;=AQ10)*($AZ$2:$BI$41&lt;=AR10)))</f>
        <v/>
      </c>
      <c r="AU10" s="28">
        <f>IF(AS10+AT10=0,"",AS10/(AS10+AT10))</f>
        <v/>
      </c>
      <c r="AV10" s="26">
        <f>AS10+AT10</f>
        <v/>
      </c>
      <c r="AW10" s="26">
        <f>SUM($AV$2:AV10)</f>
        <v/>
      </c>
      <c r="AX10" s="28">
        <f>IF(COUNTIFS(AU8:AU10,"&gt;=0")=0,"",SUM(AU8:AU10)/COUNTIFS(AU8:AU10,"&gt;=0"))</f>
        <v/>
      </c>
      <c r="AZ10" s="26">
        <f>IF(B10="",0,B10)</f>
        <v/>
      </c>
      <c r="BA10" s="26">
        <f>IF(C10="",0,C10)</f>
        <v/>
      </c>
      <c r="BB10" s="26">
        <f>IF(D10="",0,D10)</f>
        <v/>
      </c>
      <c r="BC10" s="26">
        <f>IF(E10="",0,E10)</f>
        <v/>
      </c>
      <c r="BD10" s="26">
        <f>IF(F10="",0,F10)</f>
        <v/>
      </c>
      <c r="BE10" s="26">
        <f>IF(G10="",0,G10)</f>
        <v/>
      </c>
      <c r="BF10" s="26">
        <f>IF(H10="",0,H10)</f>
        <v/>
      </c>
      <c r="BG10" s="26">
        <f>IF(I10="",0,I10)</f>
        <v/>
      </c>
      <c r="BH10" s="26">
        <f>IF(J10="",0,J10)</f>
        <v/>
      </c>
      <c r="BI10" s="26">
        <f>IF(K10="",0,K10)</f>
        <v/>
      </c>
    </row>
    <row r="11" ht="22.5" customHeight="1">
      <c r="A11" s="4" t="inlineStr">
        <is>
          <t>Tema 10</t>
        </is>
      </c>
      <c r="B11" s="104" t="n"/>
      <c r="C11" s="104">
        <f>IF($B11="","",IF(R11&lt;&gt;"",R11,(B11+INDEX(INTERVALOS,COLUMN()-COLUMN($B$1)))+INDEX(DESPLAZAMIENTO,WEEKDAY(B11+INDEX(INTERVALOS,COLUMN()-COLUMN($B$1)),2))))</f>
        <v/>
      </c>
      <c r="D11" s="85">
        <f>IF($B11="","",IF(S11&lt;&gt;"",S11,(C11+INDEX(INTERVALOS,COLUMN()-COLUMN($B$1)))+INDEX(DESPLAZAMIENTO,WEEKDAY(C11+INDEX(INTERVALOS,COLUMN()-COLUMN($B$1)),2))))</f>
        <v/>
      </c>
      <c r="E11" s="85">
        <f>IF($B11="","",IF(T11&lt;&gt;"",T11,(D11+INDEX(INTERVALOS,COLUMN()-COLUMN($B$1)))+INDEX(DESPLAZAMIENTO,WEEKDAY(D11+INDEX(INTERVALOS,COLUMN()-COLUMN($B$1)),2))))</f>
        <v/>
      </c>
      <c r="F11" s="85">
        <f>IF($B11="","",IF(U11&lt;&gt;"",U11,(E11+INDEX(INTERVALOS,COLUMN()-COLUMN($B$1)))+INDEX(DESPLAZAMIENTO,WEEKDAY(E11+INDEX(INTERVALOS,COLUMN()-COLUMN($B$1)),2))))</f>
        <v/>
      </c>
      <c r="G11" s="85">
        <f>IF($B11="","",IF(V11&lt;&gt;"",V11,(F11+INDEX(INTERVALOS,COLUMN()-COLUMN($B$1)))+INDEX(DESPLAZAMIENTO,WEEKDAY(F11+INDEX(INTERVALOS,COLUMN()-COLUMN($B$1)),2))))</f>
        <v/>
      </c>
      <c r="H11" s="85">
        <f>IF($B11="","",IF(W11&lt;&gt;"",W11,(G11+INDEX(INTERVALOS,COLUMN()-COLUMN($B$1)))+INDEX(DESPLAZAMIENTO,WEEKDAY(G11+INDEX(INTERVALOS,COLUMN()-COLUMN($B$1)),2))))</f>
        <v/>
      </c>
      <c r="I11" s="85">
        <f>IF($B11="","",IF(X11&lt;&gt;"",X11,(H11+INDEX(INTERVALOS,COLUMN()-COLUMN($B$1)))+INDEX(DESPLAZAMIENTO,WEEKDAY(H11+INDEX(INTERVALOS,COLUMN()-COLUMN($B$1)),2))))</f>
        <v/>
      </c>
      <c r="J11" s="85">
        <f>IF($B11="","",IF(Y11&lt;&gt;"",Y11,(I11+INDEX(INTERVALOS,COLUMN()-COLUMN($B$1)))+INDEX(DESPLAZAMIENTO,WEEKDAY(I11+INDEX(INTERVALOS,COLUMN()-COLUMN($B$1)),2))))</f>
        <v/>
      </c>
      <c r="K11" s="85">
        <f>IF($B11="","",IF(Z11&lt;&gt;"",Z11,(J11+INDEX(INTERVALOS,COLUMN()-COLUMN($B$1)))+INDEX(DESPLAZAMIENTO,WEEKDAY(J11+INDEX(INTERVALOS,COLUMN()-COLUMN($B$1)),2))))</f>
        <v/>
      </c>
      <c r="M11" s="26" t="n">
        <v>14</v>
      </c>
      <c r="AP11" s="26" t="n">
        <v>10</v>
      </c>
      <c r="AQ11" s="79">
        <f>IF($AN$3="","",$AN$3+(AP11-1)*DIAS_POR_SEMANA)</f>
        <v/>
      </c>
      <c r="AR11" s="79">
        <f>IF(AQ11="","",AQ11+DIAS_POR_SEMANA-1)</f>
        <v/>
      </c>
      <c r="AS11" s="26">
        <f>IF(AQ11="",0,SUMPRODUCT(($AB$2:$AK$41=ESTADO_EXITO)*($AZ$2:$BI$41&gt;=AQ11)*($AZ$2:$BI$41&lt;=AR11)))</f>
        <v/>
      </c>
      <c r="AT11" s="26">
        <f>IF(AQ11="",0,SUMPRODUCT(($AB$2:$AK$41=ESTADO_FALLO)*($AZ$2:$BI$41&gt;=AQ11)*($AZ$2:$BI$41&lt;=AR11)))</f>
        <v/>
      </c>
      <c r="AU11" s="28">
        <f>IF(AS11+AT11=0,"",AS11/(AS11+AT11))</f>
        <v/>
      </c>
      <c r="AV11" s="26">
        <f>AS11+AT11</f>
        <v/>
      </c>
      <c r="AW11" s="26">
        <f>SUM($AV$2:AV11)</f>
        <v/>
      </c>
      <c r="AX11" s="28">
        <f>IF(COUNTIFS(AU9:AU11,"&gt;=0")=0,"",SUM(AU9:AU11)/COUNTIFS(AU9:AU11,"&gt;=0"))</f>
        <v/>
      </c>
      <c r="AZ11" s="26">
        <f>IF(B11="",0,B11)</f>
        <v/>
      </c>
      <c r="BA11" s="26">
        <f>IF(C11="",0,C11)</f>
        <v/>
      </c>
      <c r="BB11" s="26">
        <f>IF(D11="",0,D11)</f>
        <v/>
      </c>
      <c r="BC11" s="26">
        <f>IF(E11="",0,E11)</f>
        <v/>
      </c>
      <c r="BD11" s="26">
        <f>IF(F11="",0,F11)</f>
        <v/>
      </c>
      <c r="BE11" s="26">
        <f>IF(G11="",0,G11)</f>
        <v/>
      </c>
      <c r="BF11" s="26">
        <f>IF(H11="",0,H11)</f>
        <v/>
      </c>
      <c r="BG11" s="26">
        <f>IF(I11="",0,I11)</f>
        <v/>
      </c>
      <c r="BH11" s="26">
        <f>IF(J11="",0,J11)</f>
        <v/>
      </c>
      <c r="BI11" s="26">
        <f>IF(K11="",0,K11)</f>
        <v/>
      </c>
    </row>
    <row r="12" ht="22.5" customHeight="1">
      <c r="A12" s="2" t="inlineStr">
        <is>
          <t>Tema 11</t>
        </is>
      </c>
      <c r="B12" s="78" t="n"/>
      <c r="C12" s="78">
        <f>IF($B12="","",IF(R12&lt;&gt;"",R12,(B12+INDEX(INTERVALOS,COLUMN()-COLUMN($B$1)))+INDEX(DESPLAZAMIENTO,WEEKDAY(B12+INDEX(INTERVALOS,COLUMN()-COLUMN($B$1)),2))))</f>
        <v/>
      </c>
      <c r="D12" s="78">
        <f>IF($B12="","",IF(S12&lt;&gt;"",S12,(C12+INDEX(INTERVALOS,COLUMN()-COLUMN($B$1)))+INDEX(DESPLAZAMIENTO,WEEKDAY(C12+INDEX(INTERVALOS,COLUMN()-COLUMN($B$1)),2))))</f>
        <v/>
      </c>
      <c r="E12" s="78">
        <f>IF($B12="","",IF(T12&lt;&gt;"",T12,(D12+INDEX(INTERVALOS,COLUMN()-COLUMN($B$1)))+INDEX(DESPLAZAMIENTO,WEEKDAY(D12+INDEX(INTERVALOS,COLUMN()-COLUMN($B$1)),2))))</f>
        <v/>
      </c>
      <c r="F12" s="78">
        <f>IF($B12="","",IF(U12&lt;&gt;"",U12,(E12+INDEX(INTERVALOS,COLUMN()-COLUMN($B$1)))+INDEX(DESPLAZAMIENTO,WEEKDAY(E12+INDEX(INTERVALOS,COLUMN()-COLUMN($B$1)),2))))</f>
        <v/>
      </c>
      <c r="G12" s="78">
        <f>IF($B12="","",IF(V12&lt;&gt;"",V12,(F12+INDEX(INTERVALOS,COLUMN()-COLUMN($B$1)))+INDEX(DESPLAZAMIENTO,WEEKDAY(F12+INDEX(INTERVALOS,COLUMN()-COLUMN($B$1)),2))))</f>
        <v/>
      </c>
      <c r="H12" s="78">
        <f>IF($B12="","",IF(W12&lt;&gt;"",W12,(G12+INDEX(INTERVALOS,COLUMN()-COLUMN($B$1)))+INDEX(DESPLAZAMIENTO,WEEKDAY(G12+INDEX(INTERVALOS,COLUMN()-COLUMN($B$1)),2))))</f>
        <v/>
      </c>
      <c r="I12" s="78">
        <f>IF($B12="","",IF(X12&lt;&gt;"",X12,(H12+INDEX(INTERVALOS,COLUMN()-COLUMN($B$1)))+INDEX(DESPLAZAMIENTO,WEEKDAY(H12+INDEX(INTERVALOS,COLUMN()-COLUMN($B$1)),2))))</f>
        <v/>
      </c>
      <c r="J12" s="78">
        <f>IF($B12="","",IF(Y12&lt;&gt;"",Y12,(I12+INDEX(INTERVALOS,COLUMN()-COLUMN($B$1)))+INDEX(DESPLAZAMIENTO,WEEKDAY(I12+INDEX(INTERVALOS,COLUMN()-COLUMN($B$1)),2))))</f>
        <v/>
      </c>
      <c r="K12" s="78">
        <f>IF($B12="","",IF(Z12&lt;&gt;"",Z12,(J12+INDEX(INTERVALOS,COLUMN()-COLUMN($B$1)))+INDEX(DESPLAZAMIENTO,WEEKDAY(J12+INDEX(INTERVALOS,COLUMN()-COLUMN($B$1)),2))))</f>
        <v/>
      </c>
      <c r="M12" s="26" t="n">
        <v>30</v>
      </c>
      <c r="AP12" s="26" t="n">
        <v>11</v>
      </c>
      <c r="AQ12" s="79">
        <f>IF($AN$3="","",$AN$3+(AP12-1)*DIAS_POR_SEMANA)</f>
        <v/>
      </c>
      <c r="AR12" s="79">
        <f>IF(AQ12="","",AQ12+DIAS_POR_SEMANA-1)</f>
        <v/>
      </c>
      <c r="AS12" s="26">
        <f>IF(AQ12="",0,SUMPRODUCT(($AB$2:$AK$41=ESTADO_EXITO)*($AZ$2:$BI$41&gt;=AQ12)*($AZ$2:$BI$41&lt;=AR12)))</f>
        <v/>
      </c>
      <c r="AT12" s="26">
        <f>IF(AQ12="",0,SUMPRODUCT(($AB$2:$AK$41=ESTADO_FALLO)*($AZ$2:$BI$41&gt;=AQ12)*($AZ$2:$BI$41&lt;=AR12)))</f>
        <v/>
      </c>
      <c r="AU12" s="28">
        <f>IF(AS12+AT12=0,"",AS12/(AS12+AT12))</f>
        <v/>
      </c>
      <c r="AV12" s="26">
        <f>AS12+AT12</f>
        <v/>
      </c>
      <c r="AW12" s="26">
        <f>SUM($AV$2:AV12)</f>
        <v/>
      </c>
      <c r="AX12" s="28">
        <f>IF(COUNTIFS(AU10:AU12,"&gt;=0")=0,"",SUM(AU10:AU12)/COUNTIFS(AU10:AU12,"&gt;=0"))</f>
        <v/>
      </c>
      <c r="AZ12" s="26">
        <f>IF(B12="",0,B12)</f>
        <v/>
      </c>
      <c r="BA12" s="26">
        <f>IF(C12="",0,C12)</f>
        <v/>
      </c>
      <c r="BB12" s="26">
        <f>IF(D12="",0,D12)</f>
        <v/>
      </c>
      <c r="BC12" s="26">
        <f>IF(E12="",0,E12)</f>
        <v/>
      </c>
      <c r="BD12" s="26">
        <f>IF(F12="",0,F12)</f>
        <v/>
      </c>
      <c r="BE12" s="26">
        <f>IF(G12="",0,G12)</f>
        <v/>
      </c>
      <c r="BF12" s="26">
        <f>IF(H12="",0,H12)</f>
        <v/>
      </c>
      <c r="BG12" s="26">
        <f>IF(I12="",0,I12)</f>
        <v/>
      </c>
      <c r="BH12" s="26">
        <f>IF(J12="",0,J12)</f>
        <v/>
      </c>
      <c r="BI12" s="26">
        <f>IF(K12="",0,K12)</f>
        <v/>
      </c>
    </row>
    <row r="13" ht="22.5" customHeight="1">
      <c r="A13" s="4" t="inlineStr">
        <is>
          <t>Tema 12</t>
        </is>
      </c>
      <c r="B13" s="85" t="n"/>
      <c r="C13" s="85">
        <f>IF($B13="","",IF(R13&lt;&gt;"",R13,(B13+INDEX(INTERVALOS,COLUMN()-COLUMN($B$1)))+INDEX(DESPLAZAMIENTO,WEEKDAY(B13+INDEX(INTERVALOS,COLUMN()-COLUMN($B$1)),2))))</f>
        <v/>
      </c>
      <c r="D13" s="85">
        <f>IF($B13="","",IF(S13&lt;&gt;"",S13,(C13+INDEX(INTERVALOS,COLUMN()-COLUMN($B$1)))+INDEX(DESPLAZAMIENTO,WEEKDAY(C13+INDEX(INTERVALOS,COLUMN()-COLUMN($B$1)),2))))</f>
        <v/>
      </c>
      <c r="E13" s="85">
        <f>IF($B13="","",IF(T13&lt;&gt;"",T13,(D13+INDEX(INTERVALOS,COLUMN()-COLUMN($B$1)))+INDEX(DESPLAZAMIENTO,WEEKDAY(D13+INDEX(INTERVALOS,COLUMN()-COLUMN($B$1)),2))))</f>
        <v/>
      </c>
      <c r="F13" s="85">
        <f>IF($B13="","",IF(U13&lt;&gt;"",U13,(E13+INDEX(INTERVALOS,COLUMN()-COLUMN($B$1)))+INDEX(DESPLAZAMIENTO,WEEKDAY(E13+INDEX(INTERVALOS,COLUMN()-COLUMN($B$1)),2))))</f>
        <v/>
      </c>
      <c r="G13" s="85">
        <f>IF($B13="","",IF(V13&lt;&gt;"",V13,(F13+INDEX(INTERVALOS,COLUMN()-COLUMN($B$1)))+INDEX(DESPLAZAMIENTO,WEEKDAY(F13+INDEX(INTERVALOS,COLUMN()-COLUMN($B$1)),2))))</f>
        <v/>
      </c>
      <c r="H13" s="85">
        <f>IF($B13="","",IF(W13&lt;&gt;"",W13,(G13+INDEX(INTERVALOS,COLUMN()-COLUMN($B$1)))+INDEX(DESPLAZAMIENTO,WEEKDAY(G13+INDEX(INTERVALOS,COLUMN()-COLUMN($B$1)),2))))</f>
        <v/>
      </c>
      <c r="I13" s="85">
        <f>IF($B13="","",IF(X13&lt;&gt;"",X13,(H13+INDEX(INTERVALOS,COLUMN()-COLUMN($B$1)))+INDEX(DESPLAZAMIENTO,WEEKDAY(H13+INDEX(INTERVALOS,COLUMN()-COLUMN($B$1)),2))))</f>
        <v/>
      </c>
      <c r="J13" s="85">
        <f>IF($B13="","",IF(Y13&lt;&gt;"",Y13,(I13+INDEX(INTERVALOS,COLUMN()-COLUMN($B$1)))+INDEX(DESPLAZAMIENTO,WEEKDAY(I13+INDEX(INTERVALOS,COLUMN()-COLUMN($B$1)),2))))</f>
        <v/>
      </c>
      <c r="K13" s="85">
        <f>IF($B13="","",IF(Z13&lt;&gt;"",Z13,(J13+INDEX(INTERVALOS,COLUMN()-COLUMN($B$1)))+INDEX(DESPLAZAMIENTO,WEEKDAY(J13+INDEX(INTERVALOS,COLUMN()-COLUMN($B$1)),2))))</f>
        <v/>
      </c>
      <c r="M13" s="26" t="n">
        <v>60</v>
      </c>
      <c r="AP13" s="26" t="n">
        <v>12</v>
      </c>
      <c r="AQ13" s="79">
        <f>IF($AN$3="","",$AN$3+(AP13-1)*DIAS_POR_SEMANA)</f>
        <v/>
      </c>
      <c r="AR13" s="79">
        <f>IF(AQ13="","",AQ13+DIAS_POR_SEMANA-1)</f>
        <v/>
      </c>
      <c r="AS13" s="26">
        <f>IF(AQ13="",0,SUMPRODUCT(($AB$2:$AK$41=ESTADO_EXITO)*($AZ$2:$BI$41&gt;=AQ13)*($AZ$2:$BI$41&lt;=AR13)))</f>
        <v/>
      </c>
      <c r="AT13" s="26">
        <f>IF(AQ13="",0,SUMPRODUCT(($AB$2:$AK$41=ESTADO_FALLO)*($AZ$2:$BI$41&gt;=AQ13)*($AZ$2:$BI$41&lt;=AR13)))</f>
        <v/>
      </c>
      <c r="AU13" s="28">
        <f>IF(AS13+AT13=0,"",AS13/(AS13+AT13))</f>
        <v/>
      </c>
      <c r="AV13" s="26">
        <f>AS13+AT13</f>
        <v/>
      </c>
      <c r="AW13" s="26">
        <f>SUM($AV$2:AV13)</f>
        <v/>
      </c>
      <c r="AX13" s="28">
        <f>IF(COUNTIFS(AU11:AU13,"&gt;=0")=0,"",SUM(AU11:AU13)/COUNTIFS(AU11:AU13,"&gt;=0"))</f>
        <v/>
      </c>
      <c r="AZ13" s="26">
        <f>IF(B13="",0,B13)</f>
        <v/>
      </c>
      <c r="BA13" s="26">
        <f>IF(C13="",0,C13)</f>
        <v/>
      </c>
      <c r="BB13" s="26">
        <f>IF(D13="",0,D13)</f>
        <v/>
      </c>
      <c r="BC13" s="26">
        <f>IF(E13="",0,E13)</f>
        <v/>
      </c>
      <c r="BD13" s="26">
        <f>IF(F13="",0,F13)</f>
        <v/>
      </c>
      <c r="BE13" s="26">
        <f>IF(G13="",0,G13)</f>
        <v/>
      </c>
      <c r="BF13" s="26">
        <f>IF(H13="",0,H13)</f>
        <v/>
      </c>
      <c r="BG13" s="26">
        <f>IF(I13="",0,I13)</f>
        <v/>
      </c>
      <c r="BH13" s="26">
        <f>IF(J13="",0,J13)</f>
        <v/>
      </c>
      <c r="BI13" s="26">
        <f>IF(K13="",0,K13)</f>
        <v/>
      </c>
    </row>
    <row r="14" ht="22.5" customHeight="1">
      <c r="A14" s="2" t="inlineStr">
        <is>
          <t>Tema 13</t>
        </is>
      </c>
      <c r="B14" s="78" t="n"/>
      <c r="C14" s="78">
        <f>IF($B14="","",IF(R14&lt;&gt;"",R14,(B14+INDEX(INTERVALOS,COLUMN()-COLUMN($B$1)))+INDEX(DESPLAZAMIENTO,WEEKDAY(B14+INDEX(INTERVALOS,COLUMN()-COLUMN($B$1)),2))))</f>
        <v/>
      </c>
      <c r="D14" s="78">
        <f>IF($B14="","",IF(S14&lt;&gt;"",S14,(C14+INDEX(INTERVALOS,COLUMN()-COLUMN($B$1)))+INDEX(DESPLAZAMIENTO,WEEKDAY(C14+INDEX(INTERVALOS,COLUMN()-COLUMN($B$1)),2))))</f>
        <v/>
      </c>
      <c r="E14" s="78">
        <f>IF($B14="","",IF(T14&lt;&gt;"",T14,(D14+INDEX(INTERVALOS,COLUMN()-COLUMN($B$1)))+INDEX(DESPLAZAMIENTO,WEEKDAY(D14+INDEX(INTERVALOS,COLUMN()-COLUMN($B$1)),2))))</f>
        <v/>
      </c>
      <c r="F14" s="78">
        <f>IF($B14="","",IF(U14&lt;&gt;"",U14,(E14+INDEX(INTERVALOS,COLUMN()-COLUMN($B$1)))+INDEX(DESPLAZAMIENTO,WEEKDAY(E14+INDEX(INTERVALOS,COLUMN()-COLUMN($B$1)),2))))</f>
        <v/>
      </c>
      <c r="G14" s="78">
        <f>IF($B14="","",IF(V14&lt;&gt;"",V14,(F14+INDEX(INTERVALOS,COLUMN()-COLUMN($B$1)))+INDEX(DESPLAZAMIENTO,WEEKDAY(F14+INDEX(INTERVALOS,COLUMN()-COLUMN($B$1)),2))))</f>
        <v/>
      </c>
      <c r="H14" s="78">
        <f>IF($B14="","",IF(W14&lt;&gt;"",W14,(G14+INDEX(INTERVALOS,COLUMN()-COLUMN($B$1)))+INDEX(DESPLAZAMIENTO,WEEKDAY(G14+INDEX(INTERVALOS,COLUMN()-COLUMN($B$1)),2))))</f>
        <v/>
      </c>
      <c r="I14" s="78">
        <f>IF($B14="","",IF(X14&lt;&gt;"",X14,(H14+INDEX(INTERVALOS,COLUMN()-COLUMN($B$1)))+INDEX(DESPLAZAMIENTO,WEEKDAY(H14+INDEX(INTERVALOS,COLUMN()-COLUMN($B$1)),2))))</f>
        <v/>
      </c>
      <c r="J14" s="78">
        <f>IF($B14="","",IF(Y14&lt;&gt;"",Y14,(I14+INDEX(INTERVALOS,COLUMN()-COLUMN($B$1)))+INDEX(DESPLAZAMIENTO,WEEKDAY(I14+INDEX(INTERVALOS,COLUMN()-COLUMN($B$1)),2))))</f>
        <v/>
      </c>
      <c r="K14" s="78">
        <f>IF($B14="","",IF(Z14&lt;&gt;"",Z14,(J14+INDEX(INTERVALOS,COLUMN()-COLUMN($B$1)))+INDEX(DESPLAZAMIENTO,WEEKDAY(J14+INDEX(INTERVALOS,COLUMN()-COLUMN($B$1)),2))))</f>
        <v/>
      </c>
      <c r="M14" s="26" t="n">
        <v>90</v>
      </c>
      <c r="AP14" s="26" t="n">
        <v>13</v>
      </c>
      <c r="AQ14" s="79">
        <f>IF($AN$3="","",$AN$3+(AP14-1)*DIAS_POR_SEMANA)</f>
        <v/>
      </c>
      <c r="AR14" s="79">
        <f>IF(AQ14="","",AQ14+DIAS_POR_SEMANA-1)</f>
        <v/>
      </c>
      <c r="AS14" s="26">
        <f>IF(AQ14="",0,SUMPRODUCT(($AB$2:$AK$41=ESTADO_EXITO)*($AZ$2:$BI$41&gt;=AQ14)*($AZ$2:$BI$41&lt;=AR14)))</f>
        <v/>
      </c>
      <c r="AT14" s="26">
        <f>IF(AQ14="",0,SUMPRODUCT(($AB$2:$AK$41=ESTADO_FALLO)*($AZ$2:$BI$41&gt;=AQ14)*($AZ$2:$BI$41&lt;=AR14)))</f>
        <v/>
      </c>
      <c r="AU14" s="28">
        <f>IF(AS14+AT14=0,"",AS14/(AS14+AT14))</f>
        <v/>
      </c>
      <c r="AV14" s="26">
        <f>AS14+AT14</f>
        <v/>
      </c>
      <c r="AW14" s="26">
        <f>SUM($AV$2:AV14)</f>
        <v/>
      </c>
      <c r="AX14" s="28">
        <f>IF(COUNTIFS(AU12:AU14,"&gt;=0")=0,"",SUM(AU12:AU14)/COUNTIFS(AU12:AU14,"&gt;=0"))</f>
        <v/>
      </c>
      <c r="AZ14" s="26">
        <f>IF(B14="",0,B14)</f>
        <v/>
      </c>
      <c r="BA14" s="26">
        <f>IF(C14="",0,C14)</f>
        <v/>
      </c>
      <c r="BB14" s="26">
        <f>IF(D14="",0,D14)</f>
        <v/>
      </c>
      <c r="BC14" s="26">
        <f>IF(E14="",0,E14)</f>
        <v/>
      </c>
      <c r="BD14" s="26">
        <f>IF(F14="",0,F14)</f>
        <v/>
      </c>
      <c r="BE14" s="26">
        <f>IF(G14="",0,G14)</f>
        <v/>
      </c>
      <c r="BF14" s="26">
        <f>IF(H14="",0,H14)</f>
        <v/>
      </c>
      <c r="BG14" s="26">
        <f>IF(I14="",0,I14)</f>
        <v/>
      </c>
      <c r="BH14" s="26">
        <f>IF(J14="",0,J14)</f>
        <v/>
      </c>
      <c r="BI14" s="26">
        <f>IF(K14="",0,K14)</f>
        <v/>
      </c>
    </row>
    <row r="15" ht="22.5" customHeight="1">
      <c r="A15" s="4" t="inlineStr">
        <is>
          <t>Tema 14</t>
        </is>
      </c>
      <c r="B15" s="85" t="n"/>
      <c r="C15" s="85">
        <f>IF($B15="","",IF(R15&lt;&gt;"",R15,(B15+INDEX(INTERVALOS,COLUMN()-COLUMN($B$1)))+INDEX(DESPLAZAMIENTO,WEEKDAY(B15+INDEX(INTERVALOS,COLUMN()-COLUMN($B$1)),2))))</f>
        <v/>
      </c>
      <c r="D15" s="85">
        <f>IF($B15="","",IF(S15&lt;&gt;"",S15,(C15+INDEX(INTERVALOS,COLUMN()-COLUMN($B$1)))+INDEX(DESPLAZAMIENTO,WEEKDAY(C15+INDEX(INTERVALOS,COLUMN()-COLUMN($B$1)),2))))</f>
        <v/>
      </c>
      <c r="E15" s="85">
        <f>IF($B15="","",IF(T15&lt;&gt;"",T15,(D15+INDEX(INTERVALOS,COLUMN()-COLUMN($B$1)))+INDEX(DESPLAZAMIENTO,WEEKDAY(D15+INDEX(INTERVALOS,COLUMN()-COLUMN($B$1)),2))))</f>
        <v/>
      </c>
      <c r="F15" s="85">
        <f>IF($B15="","",IF(U15&lt;&gt;"",U15,(E15+INDEX(INTERVALOS,COLUMN()-COLUMN($B$1)))+INDEX(DESPLAZAMIENTO,WEEKDAY(E15+INDEX(INTERVALOS,COLUMN()-COLUMN($B$1)),2))))</f>
        <v/>
      </c>
      <c r="G15" s="85">
        <f>IF($B15="","",IF(V15&lt;&gt;"",V15,(F15+INDEX(INTERVALOS,COLUMN()-COLUMN($B$1)))+INDEX(DESPLAZAMIENTO,WEEKDAY(F15+INDEX(INTERVALOS,COLUMN()-COLUMN($B$1)),2))))</f>
        <v/>
      </c>
      <c r="H15" s="85">
        <f>IF($B15="","",IF(W15&lt;&gt;"",W15,(G15+INDEX(INTERVALOS,COLUMN()-COLUMN($B$1)))+INDEX(DESPLAZAMIENTO,WEEKDAY(G15+INDEX(INTERVALOS,COLUMN()-COLUMN($B$1)),2))))</f>
        <v/>
      </c>
      <c r="I15" s="85">
        <f>IF($B15="","",IF(X15&lt;&gt;"",X15,(H15+INDEX(INTERVALOS,COLUMN()-COLUMN($B$1)))+INDEX(DESPLAZAMIENTO,WEEKDAY(H15+INDEX(INTERVALOS,COLUMN()-COLUMN($B$1)),2))))</f>
        <v/>
      </c>
      <c r="J15" s="85">
        <f>IF($B15="","",IF(Y15&lt;&gt;"",Y15,(I15+INDEX(INTERVALOS,COLUMN()-COLUMN($B$1)))+INDEX(DESPLAZAMIENTO,WEEKDAY(I15+INDEX(INTERVALOS,COLUMN()-COLUMN($B$1)),2))))</f>
        <v/>
      </c>
      <c r="K15" s="85">
        <f>IF($B15="","",IF(Z15&lt;&gt;"",Z15,(J15+INDEX(INTERVALOS,COLUMN()-COLUMN($B$1)))+INDEX(DESPLAZAMIENTO,WEEKDAY(J15+INDEX(INTERVALOS,COLUMN()-COLUMN($B$1)),2))))</f>
        <v/>
      </c>
      <c r="M15" s="26" t="n">
        <v>120</v>
      </c>
      <c r="AP15" s="26" t="n">
        <v>14</v>
      </c>
      <c r="AQ15" s="79">
        <f>IF($AN$3="","",$AN$3+(AP15-1)*DIAS_POR_SEMANA)</f>
        <v/>
      </c>
      <c r="AR15" s="79">
        <f>IF(AQ15="","",AQ15+DIAS_POR_SEMANA-1)</f>
        <v/>
      </c>
      <c r="AS15" s="26">
        <f>IF(AQ15="",0,SUMPRODUCT(($AB$2:$AK$41=ESTADO_EXITO)*($AZ$2:$BI$41&gt;=AQ15)*($AZ$2:$BI$41&lt;=AR15)))</f>
        <v/>
      </c>
      <c r="AT15" s="26">
        <f>IF(AQ15="",0,SUMPRODUCT(($AB$2:$AK$41=ESTADO_FALLO)*($AZ$2:$BI$41&gt;=AQ15)*($AZ$2:$BI$41&lt;=AR15)))</f>
        <v/>
      </c>
      <c r="AU15" s="28">
        <f>IF(AS15+AT15=0,"",AS15/(AS15+AT15))</f>
        <v/>
      </c>
      <c r="AV15" s="26">
        <f>AS15+AT15</f>
        <v/>
      </c>
      <c r="AW15" s="26">
        <f>SUM($AV$2:AV15)</f>
        <v/>
      </c>
      <c r="AX15" s="28">
        <f>IF(COUNTIFS(AU13:AU15,"&gt;=0")=0,"",SUM(AU13:AU15)/COUNTIFS(AU13:AU15,"&gt;=0"))</f>
        <v/>
      </c>
      <c r="AZ15" s="26">
        <f>IF(B15="",0,B15)</f>
        <v/>
      </c>
      <c r="BA15" s="26">
        <f>IF(C15="",0,C15)</f>
        <v/>
      </c>
      <c r="BB15" s="26">
        <f>IF(D15="",0,D15)</f>
        <v/>
      </c>
      <c r="BC15" s="26">
        <f>IF(E15="",0,E15)</f>
        <v/>
      </c>
      <c r="BD15" s="26">
        <f>IF(F15="",0,F15)</f>
        <v/>
      </c>
      <c r="BE15" s="26">
        <f>IF(G15="",0,G15)</f>
        <v/>
      </c>
      <c r="BF15" s="26">
        <f>IF(H15="",0,H15)</f>
        <v/>
      </c>
      <c r="BG15" s="26">
        <f>IF(I15="",0,I15)</f>
        <v/>
      </c>
      <c r="BH15" s="26">
        <f>IF(J15="",0,J15)</f>
        <v/>
      </c>
      <c r="BI15" s="26">
        <f>IF(K15="",0,K15)</f>
        <v/>
      </c>
    </row>
    <row r="16" ht="22.5" customHeight="1">
      <c r="A16" s="2" t="inlineStr">
        <is>
          <t>Tema 15</t>
        </is>
      </c>
      <c r="B16" s="78" t="n"/>
      <c r="C16" s="78">
        <f>IF($B16="","",IF(R16&lt;&gt;"",R16,(B16+INDEX(INTERVALOS,COLUMN()-COLUMN($B$1)))+INDEX(DESPLAZAMIENTO,WEEKDAY(B16+INDEX(INTERVALOS,COLUMN()-COLUMN($B$1)),2))))</f>
        <v/>
      </c>
      <c r="D16" s="78">
        <f>IF($B16="","",IF(S16&lt;&gt;"",S16,(C16+INDEX(INTERVALOS,COLUMN()-COLUMN($B$1)))+INDEX(DESPLAZAMIENTO,WEEKDAY(C16+INDEX(INTERVALOS,COLUMN()-COLUMN($B$1)),2))))</f>
        <v/>
      </c>
      <c r="E16" s="78">
        <f>IF($B16="","",IF(T16&lt;&gt;"",T16,(D16+INDEX(INTERVALOS,COLUMN()-COLUMN($B$1)))+INDEX(DESPLAZAMIENTO,WEEKDAY(D16+INDEX(INTERVALOS,COLUMN()-COLUMN($B$1)),2))))</f>
        <v/>
      </c>
      <c r="F16" s="78">
        <f>IF($B16="","",IF(U16&lt;&gt;"",U16,(E16+INDEX(INTERVALOS,COLUMN()-COLUMN($B$1)))+INDEX(DESPLAZAMIENTO,WEEKDAY(E16+INDEX(INTERVALOS,COLUMN()-COLUMN($B$1)),2))))</f>
        <v/>
      </c>
      <c r="G16" s="78">
        <f>IF($B16="","",IF(V16&lt;&gt;"",V16,(F16+INDEX(INTERVALOS,COLUMN()-COLUMN($B$1)))+INDEX(DESPLAZAMIENTO,WEEKDAY(F16+INDEX(INTERVALOS,COLUMN()-COLUMN($B$1)),2))))</f>
        <v/>
      </c>
      <c r="H16" s="78">
        <f>IF($B16="","",IF(W16&lt;&gt;"",W16,(G16+INDEX(INTERVALOS,COLUMN()-COLUMN($B$1)))+INDEX(DESPLAZAMIENTO,WEEKDAY(G16+INDEX(INTERVALOS,COLUMN()-COLUMN($B$1)),2))))</f>
        <v/>
      </c>
      <c r="I16" s="78">
        <f>IF($B16="","",IF(X16&lt;&gt;"",X16,(H16+INDEX(INTERVALOS,COLUMN()-COLUMN($B$1)))+INDEX(DESPLAZAMIENTO,WEEKDAY(H16+INDEX(INTERVALOS,COLUMN()-COLUMN($B$1)),2))))</f>
        <v/>
      </c>
      <c r="J16" s="78">
        <f>IF($B16="","",IF(Y16&lt;&gt;"",Y16,(I16+INDEX(INTERVALOS,COLUMN()-COLUMN($B$1)))+INDEX(DESPLAZAMIENTO,WEEKDAY(I16+INDEX(INTERVALOS,COLUMN()-COLUMN($B$1)),2))))</f>
        <v/>
      </c>
      <c r="K16" s="78">
        <f>IF($B16="","",IF(Z16&lt;&gt;"",Z16,(J16+INDEX(INTERVALOS,COLUMN()-COLUMN($B$1)))+INDEX(DESPLAZAMIENTO,WEEKDAY(J16+INDEX(INTERVALOS,COLUMN()-COLUMN($B$1)),2))))</f>
        <v/>
      </c>
      <c r="M16" s="26" t="n">
        <v>150</v>
      </c>
      <c r="AP16" s="26" t="n">
        <v>15</v>
      </c>
      <c r="AQ16" s="79">
        <f>IF($AN$3="","",$AN$3+(AP16-1)*DIAS_POR_SEMANA)</f>
        <v/>
      </c>
      <c r="AR16" s="79">
        <f>IF(AQ16="","",AQ16+DIAS_POR_SEMANA-1)</f>
        <v/>
      </c>
      <c r="AS16" s="26">
        <f>IF(AQ16="",0,SUMPRODUCT(($AB$2:$AK$41=ESTADO_EXITO)*($AZ$2:$BI$41&gt;=AQ16)*($AZ$2:$BI$41&lt;=AR16)))</f>
        <v/>
      </c>
      <c r="AT16" s="26">
        <f>IF(AQ16="",0,SUMPRODUCT(($AB$2:$AK$41=ESTADO_FALLO)*($AZ$2:$BI$41&gt;=AQ16)*($AZ$2:$BI$41&lt;=AR16)))</f>
        <v/>
      </c>
      <c r="AU16" s="28">
        <f>IF(AS16+AT16=0,"",AS16/(AS16+AT16))</f>
        <v/>
      </c>
      <c r="AV16" s="26">
        <f>AS16+AT16</f>
        <v/>
      </c>
      <c r="AW16" s="26">
        <f>SUM($AV$2:AV16)</f>
        <v/>
      </c>
      <c r="AX16" s="28">
        <f>IF(COUNTIFS(AU14:AU16,"&gt;=0")=0,"",SUM(AU14:AU16)/COUNTIFS(AU14:AU16,"&gt;=0"))</f>
        <v/>
      </c>
      <c r="AZ16" s="26">
        <f>IF(B16="",0,B16)</f>
        <v/>
      </c>
      <c r="BA16" s="26">
        <f>IF(C16="",0,C16)</f>
        <v/>
      </c>
      <c r="BB16" s="26">
        <f>IF(D16="",0,D16)</f>
        <v/>
      </c>
      <c r="BC16" s="26">
        <f>IF(E16="",0,E16)</f>
        <v/>
      </c>
      <c r="BD16" s="26">
        <f>IF(F16="",0,F16)</f>
        <v/>
      </c>
      <c r="BE16" s="26">
        <f>IF(G16="",0,G16)</f>
        <v/>
      </c>
      <c r="BF16" s="26">
        <f>IF(H16="",0,H16)</f>
        <v/>
      </c>
      <c r="BG16" s="26">
        <f>IF(I16="",0,I16)</f>
        <v/>
      </c>
      <c r="BH16" s="26">
        <f>IF(J16="",0,J16)</f>
        <v/>
      </c>
      <c r="BI16" s="26">
        <f>IF(K16="",0,K16)</f>
        <v/>
      </c>
    </row>
    <row r="17" ht="22.5" customHeight="1">
      <c r="A17" s="4" t="inlineStr">
        <is>
          <t>Tema 16</t>
        </is>
      </c>
      <c r="B17" s="85" t="n"/>
      <c r="C17" s="85">
        <f>IF($B17="","",IF(R17&lt;&gt;"",R17,(B17+INDEX(INTERVALOS,COLUMN()-COLUMN($B$1)))+INDEX(DESPLAZAMIENTO,WEEKDAY(B17+INDEX(INTERVALOS,COLUMN()-COLUMN($B$1)),2))))</f>
        <v/>
      </c>
      <c r="D17" s="85">
        <f>IF($B17="","",IF(S17&lt;&gt;"",S17,(C17+INDEX(INTERVALOS,COLUMN()-COLUMN($B$1)))+INDEX(DESPLAZAMIENTO,WEEKDAY(C17+INDEX(INTERVALOS,COLUMN()-COLUMN($B$1)),2))))</f>
        <v/>
      </c>
      <c r="E17" s="85">
        <f>IF($B17="","",IF(T17&lt;&gt;"",T17,(D17+INDEX(INTERVALOS,COLUMN()-COLUMN($B$1)))+INDEX(DESPLAZAMIENTO,WEEKDAY(D17+INDEX(INTERVALOS,COLUMN()-COLUMN($B$1)),2))))</f>
        <v/>
      </c>
      <c r="F17" s="85">
        <f>IF($B17="","",IF(U17&lt;&gt;"",U17,(E17+INDEX(INTERVALOS,COLUMN()-COLUMN($B$1)))+INDEX(DESPLAZAMIENTO,WEEKDAY(E17+INDEX(INTERVALOS,COLUMN()-COLUMN($B$1)),2))))</f>
        <v/>
      </c>
      <c r="G17" s="85">
        <f>IF($B17="","",IF(V17&lt;&gt;"",V17,(F17+INDEX(INTERVALOS,COLUMN()-COLUMN($B$1)))+INDEX(DESPLAZAMIENTO,WEEKDAY(F17+INDEX(INTERVALOS,COLUMN()-COLUMN($B$1)),2))))</f>
        <v/>
      </c>
      <c r="H17" s="85">
        <f>IF($B17="","",IF(W17&lt;&gt;"",W17,(G17+INDEX(INTERVALOS,COLUMN()-COLUMN($B$1)))+INDEX(DESPLAZAMIENTO,WEEKDAY(G17+INDEX(INTERVALOS,COLUMN()-COLUMN($B$1)),2))))</f>
        <v/>
      </c>
      <c r="I17" s="85">
        <f>IF($B17="","",IF(X17&lt;&gt;"",X17,(H17+INDEX(INTERVALOS,COLUMN()-COLUMN($B$1)))+INDEX(DESPLAZAMIENTO,WEEKDAY(H17+INDEX(INTERVALOS,COLUMN()-COLUMN($B$1)),2))))</f>
        <v/>
      </c>
      <c r="J17" s="85">
        <f>IF($B17="","",IF(Y17&lt;&gt;"",Y17,(I17+INDEX(INTERVALOS,COLUMN()-COLUMN($B$1)))+INDEX(DESPLAZAMIENTO,WEEKDAY(I17+INDEX(INTERVALOS,COLUMN()-COLUMN($B$1)),2))))</f>
        <v/>
      </c>
      <c r="K17" s="85">
        <f>IF($B17="","",IF(Z17&lt;&gt;"",Z17,(J17+INDEX(INTERVALOS,COLUMN()-COLUMN($B$1)))+INDEX(DESPLAZAMIENTO,WEEKDAY(J17+INDEX(INTERVALOS,COLUMN()-COLUMN($B$1)),2))))</f>
        <v/>
      </c>
      <c r="M17" s="26" t="n">
        <v>180</v>
      </c>
      <c r="AP17" s="26" t="n">
        <v>16</v>
      </c>
      <c r="AQ17" s="79">
        <f>IF($AN$3="","",$AN$3+(AP17-1)*DIAS_POR_SEMANA)</f>
        <v/>
      </c>
      <c r="AR17" s="79">
        <f>IF(AQ17="","",AQ17+DIAS_POR_SEMANA-1)</f>
        <v/>
      </c>
      <c r="AS17" s="26">
        <f>IF(AQ17="",0,SUMPRODUCT(($AB$2:$AK$41=ESTADO_EXITO)*($AZ$2:$BI$41&gt;=AQ17)*($AZ$2:$BI$41&lt;=AR17)))</f>
        <v/>
      </c>
      <c r="AT17" s="26">
        <f>IF(AQ17="",0,SUMPRODUCT(($AB$2:$AK$41=ESTADO_FALLO)*($AZ$2:$BI$41&gt;=AQ17)*($AZ$2:$BI$41&lt;=AR17)))</f>
        <v/>
      </c>
      <c r="AU17" s="28">
        <f>IF(AS17+AT17=0,"",AS17/(AS17+AT17))</f>
        <v/>
      </c>
      <c r="AV17" s="26">
        <f>AS17+AT17</f>
        <v/>
      </c>
      <c r="AW17" s="26">
        <f>SUM($AV$2:AV17)</f>
        <v/>
      </c>
      <c r="AX17" s="28">
        <f>IF(COUNTIFS(AU15:AU17,"&gt;=0")=0,"",SUM(AU15:AU17)/COUNTIFS(AU15:AU17,"&gt;=0"))</f>
        <v/>
      </c>
      <c r="AZ17" s="26">
        <f>IF(B17="",0,B17)</f>
        <v/>
      </c>
      <c r="BA17" s="26">
        <f>IF(C17="",0,C17)</f>
        <v/>
      </c>
      <c r="BB17" s="26">
        <f>IF(D17="",0,D17)</f>
        <v/>
      </c>
      <c r="BC17" s="26">
        <f>IF(E17="",0,E17)</f>
        <v/>
      </c>
      <c r="BD17" s="26">
        <f>IF(F17="",0,F17)</f>
        <v/>
      </c>
      <c r="BE17" s="26">
        <f>IF(G17="",0,G17)</f>
        <v/>
      </c>
      <c r="BF17" s="26">
        <f>IF(H17="",0,H17)</f>
        <v/>
      </c>
      <c r="BG17" s="26">
        <f>IF(I17="",0,I17)</f>
        <v/>
      </c>
      <c r="BH17" s="26">
        <f>IF(J17="",0,J17)</f>
        <v/>
      </c>
      <c r="BI17" s="26">
        <f>IF(K17="",0,K17)</f>
        <v/>
      </c>
    </row>
    <row r="18" ht="22.5" customHeight="1">
      <c r="A18" s="2" t="inlineStr">
        <is>
          <t>Tema 17</t>
        </is>
      </c>
      <c r="B18" s="78" t="n"/>
      <c r="C18" s="78">
        <f>IF($B18="","",IF(R18&lt;&gt;"",R18,(B18+INDEX(INTERVALOS,COLUMN()-COLUMN($B$1)))+INDEX(DESPLAZAMIENTO,WEEKDAY(B18+INDEX(INTERVALOS,COLUMN()-COLUMN($B$1)),2))))</f>
        <v/>
      </c>
      <c r="D18" s="78">
        <f>IF($B18="","",IF(S18&lt;&gt;"",S18,(C18+INDEX(INTERVALOS,COLUMN()-COLUMN($B$1)))+INDEX(DESPLAZAMIENTO,WEEKDAY(C18+INDEX(INTERVALOS,COLUMN()-COLUMN($B$1)),2))))</f>
        <v/>
      </c>
      <c r="E18" s="78">
        <f>IF($B18="","",IF(T18&lt;&gt;"",T18,(D18+INDEX(INTERVALOS,COLUMN()-COLUMN($B$1)))+INDEX(DESPLAZAMIENTO,WEEKDAY(D18+INDEX(INTERVALOS,COLUMN()-COLUMN($B$1)),2))))</f>
        <v/>
      </c>
      <c r="F18" s="78">
        <f>IF($B18="","",IF(U18&lt;&gt;"",U18,(E18+INDEX(INTERVALOS,COLUMN()-COLUMN($B$1)))+INDEX(DESPLAZAMIENTO,WEEKDAY(E18+INDEX(INTERVALOS,COLUMN()-COLUMN($B$1)),2))))</f>
        <v/>
      </c>
      <c r="G18" s="78">
        <f>IF($B18="","",IF(V18&lt;&gt;"",V18,(F18+INDEX(INTERVALOS,COLUMN()-COLUMN($B$1)))+INDEX(DESPLAZAMIENTO,WEEKDAY(F18+INDEX(INTERVALOS,COLUMN()-COLUMN($B$1)),2))))</f>
        <v/>
      </c>
      <c r="H18" s="78">
        <f>IF($B18="","",IF(W18&lt;&gt;"",W18,(G18+INDEX(INTERVALOS,COLUMN()-COLUMN($B$1)))+INDEX(DESPLAZAMIENTO,WEEKDAY(G18+INDEX(INTERVALOS,COLUMN()-COLUMN($B$1)),2))))</f>
        <v/>
      </c>
      <c r="I18" s="78">
        <f>IF($B18="","",IF(X18&lt;&gt;"",X18,(H18+INDEX(INTERVALOS,COLUMN()-COLUMN($B$1)))+INDEX(DESPLAZAMIENTO,WEEKDAY(H18+INDEX(INTERVALOS,COLUMN()-COLUMN($B$1)),2))))</f>
        <v/>
      </c>
      <c r="J18" s="78">
        <f>IF($B18="","",IF(Y18&lt;&gt;"",Y18,(I18+INDEX(INTERVALOS,COLUMN()-COLUMN($B$1)))+INDEX(DESPLAZAMIENTO,WEEKDAY(I18+INDEX(INTERVALOS,COLUMN()-COLUMN($B$1)),2))))</f>
        <v/>
      </c>
      <c r="K18" s="78">
        <f>IF($B18="","",IF(Z18&lt;&gt;"",Z18,(J18+INDEX(INTERVALOS,COLUMN()-COLUMN($B$1)))+INDEX(DESPLAZAMIENTO,WEEKDAY(J18+INDEX(INTERVALOS,COLUMN()-COLUMN($B$1)),2))))</f>
        <v/>
      </c>
      <c r="AP18" s="26" t="n">
        <v>17</v>
      </c>
      <c r="AQ18" s="79">
        <f>IF($AN$3="","",$AN$3+(AP18-1)*DIAS_POR_SEMANA)</f>
        <v/>
      </c>
      <c r="AR18" s="79">
        <f>IF(AQ18="","",AQ18+DIAS_POR_SEMANA-1)</f>
        <v/>
      </c>
      <c r="AS18" s="26">
        <f>IF(AQ18="",0,SUMPRODUCT(($AB$2:$AK$41=ESTADO_EXITO)*($AZ$2:$BI$41&gt;=AQ18)*($AZ$2:$BI$41&lt;=AR18)))</f>
        <v/>
      </c>
      <c r="AT18" s="26">
        <f>IF(AQ18="",0,SUMPRODUCT(($AB$2:$AK$41=ESTADO_FALLO)*($AZ$2:$BI$41&gt;=AQ18)*($AZ$2:$BI$41&lt;=AR18)))</f>
        <v/>
      </c>
      <c r="AU18" s="28">
        <f>IF(AS18+AT18=0,"",AS18/(AS18+AT18))</f>
        <v/>
      </c>
      <c r="AV18" s="26">
        <f>AS18+AT18</f>
        <v/>
      </c>
      <c r="AW18" s="26">
        <f>SUM($AV$2:AV18)</f>
        <v/>
      </c>
      <c r="AX18" s="28">
        <f>IF(COUNTIFS(AU16:AU18,"&gt;=0")=0,"",SUM(AU16:AU18)/COUNTIFS(AU16:AU18,"&gt;=0"))</f>
        <v/>
      </c>
      <c r="AZ18" s="26">
        <f>IF(B18="",0,B18)</f>
        <v/>
      </c>
      <c r="BA18" s="26">
        <f>IF(C18="",0,C18)</f>
        <v/>
      </c>
      <c r="BB18" s="26">
        <f>IF(D18="",0,D18)</f>
        <v/>
      </c>
      <c r="BC18" s="26">
        <f>IF(E18="",0,E18)</f>
        <v/>
      </c>
      <c r="BD18" s="26">
        <f>IF(F18="",0,F18)</f>
        <v/>
      </c>
      <c r="BE18" s="26">
        <f>IF(G18="",0,G18)</f>
        <v/>
      </c>
      <c r="BF18" s="26">
        <f>IF(H18="",0,H18)</f>
        <v/>
      </c>
      <c r="BG18" s="26">
        <f>IF(I18="",0,I18)</f>
        <v/>
      </c>
      <c r="BH18" s="26">
        <f>IF(J18="",0,J18)</f>
        <v/>
      </c>
      <c r="BI18" s="26">
        <f>IF(K18="",0,K18)</f>
        <v/>
      </c>
    </row>
    <row r="19" ht="22.5" customHeight="1">
      <c r="A19" s="4" t="inlineStr">
        <is>
          <t>Tema 18</t>
        </is>
      </c>
      <c r="B19" s="85" t="n"/>
      <c r="C19" s="85">
        <f>IF($B19="","",IF(R19&lt;&gt;"",R19,(B19+INDEX(INTERVALOS,COLUMN()-COLUMN($B$1)))+INDEX(DESPLAZAMIENTO,WEEKDAY(B19+INDEX(INTERVALOS,COLUMN()-COLUMN($B$1)),2))))</f>
        <v/>
      </c>
      <c r="D19" s="85">
        <f>IF($B19="","",IF(S19&lt;&gt;"",S19,(C19+INDEX(INTERVALOS,COLUMN()-COLUMN($B$1)))+INDEX(DESPLAZAMIENTO,WEEKDAY(C19+INDEX(INTERVALOS,COLUMN()-COLUMN($B$1)),2))))</f>
        <v/>
      </c>
      <c r="E19" s="85">
        <f>IF($B19="","",IF(T19&lt;&gt;"",T19,(D19+INDEX(INTERVALOS,COLUMN()-COLUMN($B$1)))+INDEX(DESPLAZAMIENTO,WEEKDAY(D19+INDEX(INTERVALOS,COLUMN()-COLUMN($B$1)),2))))</f>
        <v/>
      </c>
      <c r="F19" s="85">
        <f>IF($B19="","",IF(U19&lt;&gt;"",U19,(E19+INDEX(INTERVALOS,COLUMN()-COLUMN($B$1)))+INDEX(DESPLAZAMIENTO,WEEKDAY(E19+INDEX(INTERVALOS,COLUMN()-COLUMN($B$1)),2))))</f>
        <v/>
      </c>
      <c r="G19" s="85">
        <f>IF($B19="","",IF(V19&lt;&gt;"",V19,(F19+INDEX(INTERVALOS,COLUMN()-COLUMN($B$1)))+INDEX(DESPLAZAMIENTO,WEEKDAY(F19+INDEX(INTERVALOS,COLUMN()-COLUMN($B$1)),2))))</f>
        <v/>
      </c>
      <c r="H19" s="85">
        <f>IF($B19="","",IF(W19&lt;&gt;"",W19,(G19+INDEX(INTERVALOS,COLUMN()-COLUMN($B$1)))+INDEX(DESPLAZAMIENTO,WEEKDAY(G19+INDEX(INTERVALOS,COLUMN()-COLUMN($B$1)),2))))</f>
        <v/>
      </c>
      <c r="I19" s="85">
        <f>IF($B19="","",IF(X19&lt;&gt;"",X19,(H19+INDEX(INTERVALOS,COLUMN()-COLUMN($B$1)))+INDEX(DESPLAZAMIENTO,WEEKDAY(H19+INDEX(INTERVALOS,COLUMN()-COLUMN($B$1)),2))))</f>
        <v/>
      </c>
      <c r="J19" s="85">
        <f>IF($B19="","",IF(Y19&lt;&gt;"",Y19,(I19+INDEX(INTERVALOS,COLUMN()-COLUMN($B$1)))+INDEX(DESPLAZAMIENTO,WEEKDAY(I19+INDEX(INTERVALOS,COLUMN()-COLUMN($B$1)),2))))</f>
        <v/>
      </c>
      <c r="K19" s="85">
        <f>IF($B19="","",IF(Z19&lt;&gt;"",Z19,(J19+INDEX(INTERVALOS,COLUMN()-COLUMN($B$1)))+INDEX(DESPLAZAMIENTO,WEEKDAY(J19+INDEX(INTERVALOS,COLUMN()-COLUMN($B$1)),2))))</f>
        <v/>
      </c>
      <c r="AP19" s="26" t="n">
        <v>18</v>
      </c>
      <c r="AQ19" s="79">
        <f>IF($AN$3="","",$AN$3+(AP19-1)*DIAS_POR_SEMANA)</f>
        <v/>
      </c>
      <c r="AR19" s="79">
        <f>IF(AQ19="","",AQ19+DIAS_POR_SEMANA-1)</f>
        <v/>
      </c>
      <c r="AS19" s="26">
        <f>IF(AQ19="",0,SUMPRODUCT(($AB$2:$AK$41=ESTADO_EXITO)*($AZ$2:$BI$41&gt;=AQ19)*($AZ$2:$BI$41&lt;=AR19)))</f>
        <v/>
      </c>
      <c r="AT19" s="26">
        <f>IF(AQ19="",0,SUMPRODUCT(($AB$2:$AK$41=ESTADO_FALLO)*($AZ$2:$BI$41&gt;=AQ19)*($AZ$2:$BI$41&lt;=AR19)))</f>
        <v/>
      </c>
      <c r="AU19" s="28">
        <f>IF(AS19+AT19=0,"",AS19/(AS19+AT19))</f>
        <v/>
      </c>
      <c r="AV19" s="26">
        <f>AS19+AT19</f>
        <v/>
      </c>
      <c r="AW19" s="26">
        <f>SUM($AV$2:AV19)</f>
        <v/>
      </c>
      <c r="AX19" s="28">
        <f>IF(COUNTIFS(AU17:AU19,"&gt;=0")=0,"",SUM(AU17:AU19)/COUNTIFS(AU17:AU19,"&gt;=0"))</f>
        <v/>
      </c>
      <c r="AZ19" s="26">
        <f>IF(B19="",0,B19)</f>
        <v/>
      </c>
      <c r="BA19" s="26">
        <f>IF(C19="",0,C19)</f>
        <v/>
      </c>
      <c r="BB19" s="26">
        <f>IF(D19="",0,D19)</f>
        <v/>
      </c>
      <c r="BC19" s="26">
        <f>IF(E19="",0,E19)</f>
        <v/>
      </c>
      <c r="BD19" s="26">
        <f>IF(F19="",0,F19)</f>
        <v/>
      </c>
      <c r="BE19" s="26">
        <f>IF(G19="",0,G19)</f>
        <v/>
      </c>
      <c r="BF19" s="26">
        <f>IF(H19="",0,H19)</f>
        <v/>
      </c>
      <c r="BG19" s="26">
        <f>IF(I19="",0,I19)</f>
        <v/>
      </c>
      <c r="BH19" s="26">
        <f>IF(J19="",0,J19)</f>
        <v/>
      </c>
      <c r="BI19" s="26">
        <f>IF(K19="",0,K19)</f>
        <v/>
      </c>
    </row>
    <row r="20" ht="22.5" customHeight="1">
      <c r="A20" s="2" t="inlineStr">
        <is>
          <t>Tema 19</t>
        </is>
      </c>
      <c r="B20" s="78" t="n"/>
      <c r="C20" s="78">
        <f>IF($B20="","",IF(R20&lt;&gt;"",R20,(B20+INDEX(INTERVALOS,COLUMN()-COLUMN($B$1)))+INDEX(DESPLAZAMIENTO,WEEKDAY(B20+INDEX(INTERVALOS,COLUMN()-COLUMN($B$1)),2))))</f>
        <v/>
      </c>
      <c r="D20" s="78">
        <f>IF($B20="","",IF(S20&lt;&gt;"",S20,(C20+INDEX(INTERVALOS,COLUMN()-COLUMN($B$1)))+INDEX(DESPLAZAMIENTO,WEEKDAY(C20+INDEX(INTERVALOS,COLUMN()-COLUMN($B$1)),2))))</f>
        <v/>
      </c>
      <c r="E20" s="78">
        <f>IF($B20="","",IF(T20&lt;&gt;"",T20,(D20+INDEX(INTERVALOS,COLUMN()-COLUMN($B$1)))+INDEX(DESPLAZAMIENTO,WEEKDAY(D20+INDEX(INTERVALOS,COLUMN()-COLUMN($B$1)),2))))</f>
        <v/>
      </c>
      <c r="F20" s="78">
        <f>IF($B20="","",IF(U20&lt;&gt;"",U20,(E20+INDEX(INTERVALOS,COLUMN()-COLUMN($B$1)))+INDEX(DESPLAZAMIENTO,WEEKDAY(E20+INDEX(INTERVALOS,COLUMN()-COLUMN($B$1)),2))))</f>
        <v/>
      </c>
      <c r="G20" s="78">
        <f>IF($B20="","",IF(V20&lt;&gt;"",V20,(F20+INDEX(INTERVALOS,COLUMN()-COLUMN($B$1)))+INDEX(DESPLAZAMIENTO,WEEKDAY(F20+INDEX(INTERVALOS,COLUMN()-COLUMN($B$1)),2))))</f>
        <v/>
      </c>
      <c r="H20" s="78">
        <f>IF($B20="","",IF(W20&lt;&gt;"",W20,(G20+INDEX(INTERVALOS,COLUMN()-COLUMN($B$1)))+INDEX(DESPLAZAMIENTO,WEEKDAY(G20+INDEX(INTERVALOS,COLUMN()-COLUMN($B$1)),2))))</f>
        <v/>
      </c>
      <c r="I20" s="78">
        <f>IF($B20="","",IF(X20&lt;&gt;"",X20,(H20+INDEX(INTERVALOS,COLUMN()-COLUMN($B$1)))+INDEX(DESPLAZAMIENTO,WEEKDAY(H20+INDEX(INTERVALOS,COLUMN()-COLUMN($B$1)),2))))</f>
        <v/>
      </c>
      <c r="J20" s="78">
        <f>IF($B20="","",IF(Y20&lt;&gt;"",Y20,(I20+INDEX(INTERVALOS,COLUMN()-COLUMN($B$1)))+INDEX(DESPLAZAMIENTO,WEEKDAY(I20+INDEX(INTERVALOS,COLUMN()-COLUMN($B$1)),2))))</f>
        <v/>
      </c>
      <c r="K20" s="78">
        <f>IF($B20="","",IF(Z20&lt;&gt;"",Z20,(J20+INDEX(INTERVALOS,COLUMN()-COLUMN($B$1)))+INDEX(DESPLAZAMIENTO,WEEKDAY(J20+INDEX(INTERVALOS,COLUMN()-COLUMN($B$1)),2))))</f>
        <v/>
      </c>
      <c r="AP20" s="26" t="n">
        <v>19</v>
      </c>
      <c r="AQ20" s="79">
        <f>IF($AN$3="","",$AN$3+(AP20-1)*DIAS_POR_SEMANA)</f>
        <v/>
      </c>
      <c r="AR20" s="79">
        <f>IF(AQ20="","",AQ20+DIAS_POR_SEMANA-1)</f>
        <v/>
      </c>
      <c r="AS20" s="26">
        <f>IF(AQ20="",0,SUMPRODUCT(($AB$2:$AK$41=ESTADO_EXITO)*($AZ$2:$BI$41&gt;=AQ20)*($AZ$2:$BI$41&lt;=AR20)))</f>
        <v/>
      </c>
      <c r="AT20" s="26">
        <f>IF(AQ20="",0,SUMPRODUCT(($AB$2:$AK$41=ESTADO_FALLO)*($AZ$2:$BI$41&gt;=AQ20)*($AZ$2:$BI$41&lt;=AR20)))</f>
        <v/>
      </c>
      <c r="AU20" s="28">
        <f>IF(AS20+AT20=0,"",AS20/(AS20+AT20))</f>
        <v/>
      </c>
      <c r="AV20" s="26">
        <f>AS20+AT20</f>
        <v/>
      </c>
      <c r="AW20" s="26">
        <f>SUM($AV$2:AV20)</f>
        <v/>
      </c>
      <c r="AX20" s="28">
        <f>IF(COUNTIFS(AU18:AU20,"&gt;=0")=0,"",SUM(AU18:AU20)/COUNTIFS(AU18:AU20,"&gt;=0"))</f>
        <v/>
      </c>
      <c r="AZ20" s="26">
        <f>IF(B20="",0,B20)</f>
        <v/>
      </c>
      <c r="BA20" s="26">
        <f>IF(C20="",0,C20)</f>
        <v/>
      </c>
      <c r="BB20" s="26">
        <f>IF(D20="",0,D20)</f>
        <v/>
      </c>
      <c r="BC20" s="26">
        <f>IF(E20="",0,E20)</f>
        <v/>
      </c>
      <c r="BD20" s="26">
        <f>IF(F20="",0,F20)</f>
        <v/>
      </c>
      <c r="BE20" s="26">
        <f>IF(G20="",0,G20)</f>
        <v/>
      </c>
      <c r="BF20" s="26">
        <f>IF(H20="",0,H20)</f>
        <v/>
      </c>
      <c r="BG20" s="26">
        <f>IF(I20="",0,I20)</f>
        <v/>
      </c>
      <c r="BH20" s="26">
        <f>IF(J20="",0,J20)</f>
        <v/>
      </c>
      <c r="BI20" s="26">
        <f>IF(K20="",0,K20)</f>
        <v/>
      </c>
    </row>
    <row r="21" ht="22.5" customHeight="1">
      <c r="A21" s="4" t="inlineStr">
        <is>
          <t>Tema 20</t>
        </is>
      </c>
      <c r="B21" s="85" t="n"/>
      <c r="C21" s="85">
        <f>IF($B21="","",IF(R21&lt;&gt;"",R21,(B21+INDEX(INTERVALOS,COLUMN()-COLUMN($B$1)))+INDEX(DESPLAZAMIENTO,WEEKDAY(B21+INDEX(INTERVALOS,COLUMN()-COLUMN($B$1)),2))))</f>
        <v/>
      </c>
      <c r="D21" s="85">
        <f>IF($B21="","",IF(S21&lt;&gt;"",S21,(C21+INDEX(INTERVALOS,COLUMN()-COLUMN($B$1)))+INDEX(DESPLAZAMIENTO,WEEKDAY(C21+INDEX(INTERVALOS,COLUMN()-COLUMN($B$1)),2))))</f>
        <v/>
      </c>
      <c r="E21" s="85">
        <f>IF($B21="","",IF(T21&lt;&gt;"",T21,(D21+INDEX(INTERVALOS,COLUMN()-COLUMN($B$1)))+INDEX(DESPLAZAMIENTO,WEEKDAY(D21+INDEX(INTERVALOS,COLUMN()-COLUMN($B$1)),2))))</f>
        <v/>
      </c>
      <c r="F21" s="85">
        <f>IF($B21="","",IF(U21&lt;&gt;"",U21,(E21+INDEX(INTERVALOS,COLUMN()-COLUMN($B$1)))+INDEX(DESPLAZAMIENTO,WEEKDAY(E21+INDEX(INTERVALOS,COLUMN()-COLUMN($B$1)),2))))</f>
        <v/>
      </c>
      <c r="G21" s="85">
        <f>IF($B21="","",IF(V21&lt;&gt;"",V21,(F21+INDEX(INTERVALOS,COLUMN()-COLUMN($B$1)))+INDEX(DESPLAZAMIENTO,WEEKDAY(F21+INDEX(INTERVALOS,COLUMN()-COLUMN($B$1)),2))))</f>
        <v/>
      </c>
      <c r="H21" s="85">
        <f>IF($B21="","",IF(W21&lt;&gt;"",W21,(G21+INDEX(INTERVALOS,COLUMN()-COLUMN($B$1)))+INDEX(DESPLAZAMIENTO,WEEKDAY(G21+INDEX(INTERVALOS,COLUMN()-COLUMN($B$1)),2))))</f>
        <v/>
      </c>
      <c r="I21" s="85">
        <f>IF($B21="","",IF(X21&lt;&gt;"",X21,(H21+INDEX(INTERVALOS,COLUMN()-COLUMN($B$1)))+INDEX(DESPLAZAMIENTO,WEEKDAY(H21+INDEX(INTERVALOS,COLUMN()-COLUMN($B$1)),2))))</f>
        <v/>
      </c>
      <c r="J21" s="85">
        <f>IF($B21="","",IF(Y21&lt;&gt;"",Y21,(I21+INDEX(INTERVALOS,COLUMN()-COLUMN($B$1)))+INDEX(DESPLAZAMIENTO,WEEKDAY(I21+INDEX(INTERVALOS,COLUMN()-COLUMN($B$1)),2))))</f>
        <v/>
      </c>
      <c r="K21" s="85">
        <f>IF($B21="","",IF(Z21&lt;&gt;"",Z21,(J21+INDEX(INTERVALOS,COLUMN()-COLUMN($B$1)))+INDEX(DESPLAZAMIENTO,WEEKDAY(J21+INDEX(INTERVALOS,COLUMN()-COLUMN($B$1)),2))))</f>
        <v/>
      </c>
      <c r="AP21" s="26" t="n">
        <v>20</v>
      </c>
      <c r="AQ21" s="79">
        <f>IF($AN$3="","",$AN$3+(AP21-1)*DIAS_POR_SEMANA)</f>
        <v/>
      </c>
      <c r="AR21" s="79">
        <f>IF(AQ21="","",AQ21+DIAS_POR_SEMANA-1)</f>
        <v/>
      </c>
      <c r="AS21" s="26">
        <f>IF(AQ21="",0,SUMPRODUCT(($AB$2:$AK$41=ESTADO_EXITO)*($AZ$2:$BI$41&gt;=AQ21)*($AZ$2:$BI$41&lt;=AR21)))</f>
        <v/>
      </c>
      <c r="AT21" s="26">
        <f>IF(AQ21="",0,SUMPRODUCT(($AB$2:$AK$41=ESTADO_FALLO)*($AZ$2:$BI$41&gt;=AQ21)*($AZ$2:$BI$41&lt;=AR21)))</f>
        <v/>
      </c>
      <c r="AU21" s="28">
        <f>IF(AS21+AT21=0,"",AS21/(AS21+AT21))</f>
        <v/>
      </c>
      <c r="AV21" s="26">
        <f>AS21+AT21</f>
        <v/>
      </c>
      <c r="AW21" s="26">
        <f>SUM($AV$2:AV21)</f>
        <v/>
      </c>
      <c r="AX21" s="28">
        <f>IF(COUNTIFS(AU19:AU21,"&gt;=0")=0,"",SUM(AU19:AU21)/COUNTIFS(AU19:AU21,"&gt;=0"))</f>
        <v/>
      </c>
      <c r="AZ21" s="26">
        <f>IF(B21="",0,B21)</f>
        <v/>
      </c>
      <c r="BA21" s="26">
        <f>IF(C21="",0,C21)</f>
        <v/>
      </c>
      <c r="BB21" s="26">
        <f>IF(D21="",0,D21)</f>
        <v/>
      </c>
      <c r="BC21" s="26">
        <f>IF(E21="",0,E21)</f>
        <v/>
      </c>
      <c r="BD21" s="26">
        <f>IF(F21="",0,F21)</f>
        <v/>
      </c>
      <c r="BE21" s="26">
        <f>IF(G21="",0,G21)</f>
        <v/>
      </c>
      <c r="BF21" s="26">
        <f>IF(H21="",0,H21)</f>
        <v/>
      </c>
      <c r="BG21" s="26">
        <f>IF(I21="",0,I21)</f>
        <v/>
      </c>
      <c r="BH21" s="26">
        <f>IF(J21="",0,J21)</f>
        <v/>
      </c>
      <c r="BI21" s="26">
        <f>IF(K21="",0,K21)</f>
        <v/>
      </c>
    </row>
    <row r="22" ht="22.5" customHeight="1">
      <c r="A22" s="2" t="inlineStr">
        <is>
          <t>Tema 21</t>
        </is>
      </c>
      <c r="B22" s="78" t="n"/>
      <c r="C22" s="78">
        <f>IF($B22="","",IF(R22&lt;&gt;"",R22,(B22+INDEX(INTERVALOS,COLUMN()-COLUMN($B$1)))+INDEX(DESPLAZAMIENTO,WEEKDAY(B22+INDEX(INTERVALOS,COLUMN()-COLUMN($B$1)),2))))</f>
        <v/>
      </c>
      <c r="D22" s="78">
        <f>IF($B22="","",IF(S22&lt;&gt;"",S22,(C22+INDEX(INTERVALOS,COLUMN()-COLUMN($B$1)))+INDEX(DESPLAZAMIENTO,WEEKDAY(C22+INDEX(INTERVALOS,COLUMN()-COLUMN($B$1)),2))))</f>
        <v/>
      </c>
      <c r="E22" s="78">
        <f>IF($B22="","",IF(T22&lt;&gt;"",T22,(D22+INDEX(INTERVALOS,COLUMN()-COLUMN($B$1)))+INDEX(DESPLAZAMIENTO,WEEKDAY(D22+INDEX(INTERVALOS,COLUMN()-COLUMN($B$1)),2))))</f>
        <v/>
      </c>
      <c r="F22" s="78">
        <f>IF($B22="","",IF(U22&lt;&gt;"",U22,(E22+INDEX(INTERVALOS,COLUMN()-COLUMN($B$1)))+INDEX(DESPLAZAMIENTO,WEEKDAY(E22+INDEX(INTERVALOS,COLUMN()-COLUMN($B$1)),2))))</f>
        <v/>
      </c>
      <c r="G22" s="78">
        <f>IF($B22="","",IF(V22&lt;&gt;"",V22,(F22+INDEX(INTERVALOS,COLUMN()-COLUMN($B$1)))+INDEX(DESPLAZAMIENTO,WEEKDAY(F22+INDEX(INTERVALOS,COLUMN()-COLUMN($B$1)),2))))</f>
        <v/>
      </c>
      <c r="H22" s="78">
        <f>IF($B22="","",IF(W22&lt;&gt;"",W22,(G22+INDEX(INTERVALOS,COLUMN()-COLUMN($B$1)))+INDEX(DESPLAZAMIENTO,WEEKDAY(G22+INDEX(INTERVALOS,COLUMN()-COLUMN($B$1)),2))))</f>
        <v/>
      </c>
      <c r="I22" s="78">
        <f>IF($B22="","",IF(X22&lt;&gt;"",X22,(H22+INDEX(INTERVALOS,COLUMN()-COLUMN($B$1)))+INDEX(DESPLAZAMIENTO,WEEKDAY(H22+INDEX(INTERVALOS,COLUMN()-COLUMN($B$1)),2))))</f>
        <v/>
      </c>
      <c r="J22" s="78">
        <f>IF($B22="","",IF(Y22&lt;&gt;"",Y22,(I22+INDEX(INTERVALOS,COLUMN()-COLUMN($B$1)))+INDEX(DESPLAZAMIENTO,WEEKDAY(I22+INDEX(INTERVALOS,COLUMN()-COLUMN($B$1)),2))))</f>
        <v/>
      </c>
      <c r="K22" s="78">
        <f>IF($B22="","",IF(Z22&lt;&gt;"",Z22,(J22+INDEX(INTERVALOS,COLUMN()-COLUMN($B$1)))+INDEX(DESPLAZAMIENTO,WEEKDAY(J22+INDEX(INTERVALOS,COLUMN()-COLUMN($B$1)),2))))</f>
        <v/>
      </c>
      <c r="AP22" s="26" t="n">
        <v>21</v>
      </c>
      <c r="AQ22" s="79">
        <f>IF($AN$3="","",$AN$3+(AP22-1)*DIAS_POR_SEMANA)</f>
        <v/>
      </c>
      <c r="AR22" s="79">
        <f>IF(AQ22="","",AQ22+DIAS_POR_SEMANA-1)</f>
        <v/>
      </c>
      <c r="AS22" s="26">
        <f>IF(AQ22="",0,SUMPRODUCT(($AB$2:$AK$41=ESTADO_EXITO)*($AZ$2:$BI$41&gt;=AQ22)*($AZ$2:$BI$41&lt;=AR22)))</f>
        <v/>
      </c>
      <c r="AT22" s="26">
        <f>IF(AQ22="",0,SUMPRODUCT(($AB$2:$AK$41=ESTADO_FALLO)*($AZ$2:$BI$41&gt;=AQ22)*($AZ$2:$BI$41&lt;=AR22)))</f>
        <v/>
      </c>
      <c r="AU22" s="28">
        <f>IF(AS22+AT22=0,"",AS22/(AS22+AT22))</f>
        <v/>
      </c>
      <c r="AV22" s="26">
        <f>AS22+AT22</f>
        <v/>
      </c>
      <c r="AW22" s="26">
        <f>SUM($AV$2:AV22)</f>
        <v/>
      </c>
      <c r="AX22" s="28">
        <f>IF(COUNTIFS(AU20:AU22,"&gt;=0")=0,"",SUM(AU20:AU22)/COUNTIFS(AU20:AU22,"&gt;=0"))</f>
        <v/>
      </c>
      <c r="AZ22" s="26">
        <f>IF(B22="",0,B22)</f>
        <v/>
      </c>
      <c r="BA22" s="26">
        <f>IF(C22="",0,C22)</f>
        <v/>
      </c>
      <c r="BB22" s="26">
        <f>IF(D22="",0,D22)</f>
        <v/>
      </c>
      <c r="BC22" s="26">
        <f>IF(E22="",0,E22)</f>
        <v/>
      </c>
      <c r="BD22" s="26">
        <f>IF(F22="",0,F22)</f>
        <v/>
      </c>
      <c r="BE22" s="26">
        <f>IF(G22="",0,G22)</f>
        <v/>
      </c>
      <c r="BF22" s="26">
        <f>IF(H22="",0,H22)</f>
        <v/>
      </c>
      <c r="BG22" s="26">
        <f>IF(I22="",0,I22)</f>
        <v/>
      </c>
      <c r="BH22" s="26">
        <f>IF(J22="",0,J22)</f>
        <v/>
      </c>
      <c r="BI22" s="26">
        <f>IF(K22="",0,K22)</f>
        <v/>
      </c>
    </row>
    <row r="23" ht="22.5" customHeight="1">
      <c r="A23" s="4" t="inlineStr">
        <is>
          <t>Tema 22</t>
        </is>
      </c>
      <c r="B23" s="85" t="n"/>
      <c r="C23" s="85">
        <f>IF($B23="","",IF(R23&lt;&gt;"",R23,(B23+INDEX(INTERVALOS,COLUMN()-COLUMN($B$1)))+INDEX(DESPLAZAMIENTO,WEEKDAY(B23+INDEX(INTERVALOS,COLUMN()-COLUMN($B$1)),2))))</f>
        <v/>
      </c>
      <c r="D23" s="85">
        <f>IF($B23="","",IF(S23&lt;&gt;"",S23,(C23+INDEX(INTERVALOS,COLUMN()-COLUMN($B$1)))+INDEX(DESPLAZAMIENTO,WEEKDAY(C23+INDEX(INTERVALOS,COLUMN()-COLUMN($B$1)),2))))</f>
        <v/>
      </c>
      <c r="E23" s="85">
        <f>IF($B23="","",IF(T23&lt;&gt;"",T23,(D23+INDEX(INTERVALOS,COLUMN()-COLUMN($B$1)))+INDEX(DESPLAZAMIENTO,WEEKDAY(D23+INDEX(INTERVALOS,COLUMN()-COLUMN($B$1)),2))))</f>
        <v/>
      </c>
      <c r="F23" s="85">
        <f>IF($B23="","",IF(U23&lt;&gt;"",U23,(E23+INDEX(INTERVALOS,COLUMN()-COLUMN($B$1)))+INDEX(DESPLAZAMIENTO,WEEKDAY(E23+INDEX(INTERVALOS,COLUMN()-COLUMN($B$1)),2))))</f>
        <v/>
      </c>
      <c r="G23" s="85">
        <f>IF($B23="","",IF(V23&lt;&gt;"",V23,(F23+INDEX(INTERVALOS,COLUMN()-COLUMN($B$1)))+INDEX(DESPLAZAMIENTO,WEEKDAY(F23+INDEX(INTERVALOS,COLUMN()-COLUMN($B$1)),2))))</f>
        <v/>
      </c>
      <c r="H23" s="85">
        <f>IF($B23="","",IF(W23&lt;&gt;"",W23,(G23+INDEX(INTERVALOS,COLUMN()-COLUMN($B$1)))+INDEX(DESPLAZAMIENTO,WEEKDAY(G23+INDEX(INTERVALOS,COLUMN()-COLUMN($B$1)),2))))</f>
        <v/>
      </c>
      <c r="I23" s="85">
        <f>IF($B23="","",IF(X23&lt;&gt;"",X23,(H23+INDEX(INTERVALOS,COLUMN()-COLUMN($B$1)))+INDEX(DESPLAZAMIENTO,WEEKDAY(H23+INDEX(INTERVALOS,COLUMN()-COLUMN($B$1)),2))))</f>
        <v/>
      </c>
      <c r="J23" s="85">
        <f>IF($B23="","",IF(Y23&lt;&gt;"",Y23,(I23+INDEX(INTERVALOS,COLUMN()-COLUMN($B$1)))+INDEX(DESPLAZAMIENTO,WEEKDAY(I23+INDEX(INTERVALOS,COLUMN()-COLUMN($B$1)),2))))</f>
        <v/>
      </c>
      <c r="K23" s="85">
        <f>IF($B23="","",IF(Z23&lt;&gt;"",Z23,(J23+INDEX(INTERVALOS,COLUMN()-COLUMN($B$1)))+INDEX(DESPLAZAMIENTO,WEEKDAY(J23+INDEX(INTERVALOS,COLUMN()-COLUMN($B$1)),2))))</f>
        <v/>
      </c>
      <c r="AP23" s="26" t="n">
        <v>22</v>
      </c>
      <c r="AQ23" s="79">
        <f>IF($AN$3="","",$AN$3+(AP23-1)*DIAS_POR_SEMANA)</f>
        <v/>
      </c>
      <c r="AR23" s="79">
        <f>IF(AQ23="","",AQ23+DIAS_POR_SEMANA-1)</f>
        <v/>
      </c>
      <c r="AS23" s="26">
        <f>IF(AQ23="",0,SUMPRODUCT(($AB$2:$AK$41=ESTADO_EXITO)*($AZ$2:$BI$41&gt;=AQ23)*($AZ$2:$BI$41&lt;=AR23)))</f>
        <v/>
      </c>
      <c r="AT23" s="26">
        <f>IF(AQ23="",0,SUMPRODUCT(($AB$2:$AK$41=ESTADO_FALLO)*($AZ$2:$BI$41&gt;=AQ23)*($AZ$2:$BI$41&lt;=AR23)))</f>
        <v/>
      </c>
      <c r="AU23" s="28">
        <f>IF(AS23+AT23=0,"",AS23/(AS23+AT23))</f>
        <v/>
      </c>
      <c r="AV23" s="26">
        <f>AS23+AT23</f>
        <v/>
      </c>
      <c r="AW23" s="26">
        <f>SUM($AV$2:AV23)</f>
        <v/>
      </c>
      <c r="AX23" s="28">
        <f>IF(COUNTIFS(AU21:AU23,"&gt;=0")=0,"",SUM(AU21:AU23)/COUNTIFS(AU21:AU23,"&gt;=0"))</f>
        <v/>
      </c>
      <c r="AZ23" s="26">
        <f>IF(B23="",0,B23)</f>
        <v/>
      </c>
      <c r="BA23" s="26">
        <f>IF(C23="",0,C23)</f>
        <v/>
      </c>
      <c r="BB23" s="26">
        <f>IF(D23="",0,D23)</f>
        <v/>
      </c>
      <c r="BC23" s="26">
        <f>IF(E23="",0,E23)</f>
        <v/>
      </c>
      <c r="BD23" s="26">
        <f>IF(F23="",0,F23)</f>
        <v/>
      </c>
      <c r="BE23" s="26">
        <f>IF(G23="",0,G23)</f>
        <v/>
      </c>
      <c r="BF23" s="26">
        <f>IF(H23="",0,H23)</f>
        <v/>
      </c>
      <c r="BG23" s="26">
        <f>IF(I23="",0,I23)</f>
        <v/>
      </c>
      <c r="BH23" s="26">
        <f>IF(J23="",0,J23)</f>
        <v/>
      </c>
      <c r="BI23" s="26">
        <f>IF(K23="",0,K23)</f>
        <v/>
      </c>
    </row>
    <row r="24" ht="22.5" customHeight="1">
      <c r="A24" s="2" t="inlineStr">
        <is>
          <t>Tema 23</t>
        </is>
      </c>
      <c r="B24" s="78" t="n"/>
      <c r="C24" s="78">
        <f>IF($B24="","",IF(R24&lt;&gt;"",R24,(B24+INDEX(INTERVALOS,COLUMN()-COLUMN($B$1)))+INDEX(DESPLAZAMIENTO,WEEKDAY(B24+INDEX(INTERVALOS,COLUMN()-COLUMN($B$1)),2))))</f>
        <v/>
      </c>
      <c r="D24" s="78">
        <f>IF($B24="","",IF(S24&lt;&gt;"",S24,(C24+INDEX(INTERVALOS,COLUMN()-COLUMN($B$1)))+INDEX(DESPLAZAMIENTO,WEEKDAY(C24+INDEX(INTERVALOS,COLUMN()-COLUMN($B$1)),2))))</f>
        <v/>
      </c>
      <c r="E24" s="78">
        <f>IF($B24="","",IF(T24&lt;&gt;"",T24,(D24+INDEX(INTERVALOS,COLUMN()-COLUMN($B$1)))+INDEX(DESPLAZAMIENTO,WEEKDAY(D24+INDEX(INTERVALOS,COLUMN()-COLUMN($B$1)),2))))</f>
        <v/>
      </c>
      <c r="F24" s="78">
        <f>IF($B24="","",IF(U24&lt;&gt;"",U24,(E24+INDEX(INTERVALOS,COLUMN()-COLUMN($B$1)))+INDEX(DESPLAZAMIENTO,WEEKDAY(E24+INDEX(INTERVALOS,COLUMN()-COLUMN($B$1)),2))))</f>
        <v/>
      </c>
      <c r="G24" s="78">
        <f>IF($B24="","",IF(V24&lt;&gt;"",V24,(F24+INDEX(INTERVALOS,COLUMN()-COLUMN($B$1)))+INDEX(DESPLAZAMIENTO,WEEKDAY(F24+INDEX(INTERVALOS,COLUMN()-COLUMN($B$1)),2))))</f>
        <v/>
      </c>
      <c r="H24" s="78">
        <f>IF($B24="","",IF(W24&lt;&gt;"",W24,(G24+INDEX(INTERVALOS,COLUMN()-COLUMN($B$1)))+INDEX(DESPLAZAMIENTO,WEEKDAY(G24+INDEX(INTERVALOS,COLUMN()-COLUMN($B$1)),2))))</f>
        <v/>
      </c>
      <c r="I24" s="78">
        <f>IF($B24="","",IF(X24&lt;&gt;"",X24,(H24+INDEX(INTERVALOS,COLUMN()-COLUMN($B$1)))+INDEX(DESPLAZAMIENTO,WEEKDAY(H24+INDEX(INTERVALOS,COLUMN()-COLUMN($B$1)),2))))</f>
        <v/>
      </c>
      <c r="J24" s="78">
        <f>IF($B24="","",IF(Y24&lt;&gt;"",Y24,(I24+INDEX(INTERVALOS,COLUMN()-COLUMN($B$1)))+INDEX(DESPLAZAMIENTO,WEEKDAY(I24+INDEX(INTERVALOS,COLUMN()-COLUMN($B$1)),2))))</f>
        <v/>
      </c>
      <c r="K24" s="78">
        <f>IF($B24="","",IF(Z24&lt;&gt;"",Z24,(J24+INDEX(INTERVALOS,COLUMN()-COLUMN($B$1)))+INDEX(DESPLAZAMIENTO,WEEKDAY(J24+INDEX(INTERVALOS,COLUMN()-COLUMN($B$1)),2))))</f>
        <v/>
      </c>
      <c r="AP24" s="26" t="n">
        <v>23</v>
      </c>
      <c r="AQ24" s="79">
        <f>IF($AN$3="","",$AN$3+(AP24-1)*DIAS_POR_SEMANA)</f>
        <v/>
      </c>
      <c r="AR24" s="79">
        <f>IF(AQ24="","",AQ24+DIAS_POR_SEMANA-1)</f>
        <v/>
      </c>
      <c r="AS24" s="26">
        <f>IF(AQ24="",0,SUMPRODUCT(($AB$2:$AK$41=ESTADO_EXITO)*($AZ$2:$BI$41&gt;=AQ24)*($AZ$2:$BI$41&lt;=AR24)))</f>
        <v/>
      </c>
      <c r="AT24" s="26">
        <f>IF(AQ24="",0,SUMPRODUCT(($AB$2:$AK$41=ESTADO_FALLO)*($AZ$2:$BI$41&gt;=AQ24)*($AZ$2:$BI$41&lt;=AR24)))</f>
        <v/>
      </c>
      <c r="AU24" s="28">
        <f>IF(AS24+AT24=0,"",AS24/(AS24+AT24))</f>
        <v/>
      </c>
      <c r="AV24" s="26">
        <f>AS24+AT24</f>
        <v/>
      </c>
      <c r="AW24" s="26">
        <f>SUM($AV$2:AV24)</f>
        <v/>
      </c>
      <c r="AX24" s="28">
        <f>IF(COUNTIFS(AU22:AU24,"&gt;=0")=0,"",SUM(AU22:AU24)/COUNTIFS(AU22:AU24,"&gt;=0"))</f>
        <v/>
      </c>
      <c r="AZ24" s="26">
        <f>IF(B24="",0,B24)</f>
        <v/>
      </c>
      <c r="BA24" s="26">
        <f>IF(C24="",0,C24)</f>
        <v/>
      </c>
      <c r="BB24" s="26">
        <f>IF(D24="",0,D24)</f>
        <v/>
      </c>
      <c r="BC24" s="26">
        <f>IF(E24="",0,E24)</f>
        <v/>
      </c>
      <c r="BD24" s="26">
        <f>IF(F24="",0,F24)</f>
        <v/>
      </c>
      <c r="BE24" s="26">
        <f>IF(G24="",0,G24)</f>
        <v/>
      </c>
      <c r="BF24" s="26">
        <f>IF(H24="",0,H24)</f>
        <v/>
      </c>
      <c r="BG24" s="26">
        <f>IF(I24="",0,I24)</f>
        <v/>
      </c>
      <c r="BH24" s="26">
        <f>IF(J24="",0,J24)</f>
        <v/>
      </c>
      <c r="BI24" s="26">
        <f>IF(K24="",0,K24)</f>
        <v/>
      </c>
    </row>
    <row r="25" ht="22.5" customHeight="1">
      <c r="A25" s="4" t="inlineStr">
        <is>
          <t>Tema 24</t>
        </is>
      </c>
      <c r="B25" s="85" t="n"/>
      <c r="C25" s="85">
        <f>IF($B25="","",IF(R25&lt;&gt;"",R25,(B25+INDEX(INTERVALOS,COLUMN()-COLUMN($B$1)))+INDEX(DESPLAZAMIENTO,WEEKDAY(B25+INDEX(INTERVALOS,COLUMN()-COLUMN($B$1)),2))))</f>
        <v/>
      </c>
      <c r="D25" s="85">
        <f>IF($B25="","",IF(S25&lt;&gt;"",S25,(C25+INDEX(INTERVALOS,COLUMN()-COLUMN($B$1)))+INDEX(DESPLAZAMIENTO,WEEKDAY(C25+INDEX(INTERVALOS,COLUMN()-COLUMN($B$1)),2))))</f>
        <v/>
      </c>
      <c r="E25" s="85">
        <f>IF($B25="","",IF(T25&lt;&gt;"",T25,(D25+INDEX(INTERVALOS,COLUMN()-COLUMN($B$1)))+INDEX(DESPLAZAMIENTO,WEEKDAY(D25+INDEX(INTERVALOS,COLUMN()-COLUMN($B$1)),2))))</f>
        <v/>
      </c>
      <c r="F25" s="85">
        <f>IF($B25="","",IF(U25&lt;&gt;"",U25,(E25+INDEX(INTERVALOS,COLUMN()-COLUMN($B$1)))+INDEX(DESPLAZAMIENTO,WEEKDAY(E25+INDEX(INTERVALOS,COLUMN()-COLUMN($B$1)),2))))</f>
        <v/>
      </c>
      <c r="G25" s="85">
        <f>IF($B25="","",IF(V25&lt;&gt;"",V25,(F25+INDEX(INTERVALOS,COLUMN()-COLUMN($B$1)))+INDEX(DESPLAZAMIENTO,WEEKDAY(F25+INDEX(INTERVALOS,COLUMN()-COLUMN($B$1)),2))))</f>
        <v/>
      </c>
      <c r="H25" s="85">
        <f>IF($B25="","",IF(W25&lt;&gt;"",W25,(G25+INDEX(INTERVALOS,COLUMN()-COLUMN($B$1)))+INDEX(DESPLAZAMIENTO,WEEKDAY(G25+INDEX(INTERVALOS,COLUMN()-COLUMN($B$1)),2))))</f>
        <v/>
      </c>
      <c r="I25" s="85">
        <f>IF($B25="","",IF(X25&lt;&gt;"",X25,(H25+INDEX(INTERVALOS,COLUMN()-COLUMN($B$1)))+INDEX(DESPLAZAMIENTO,WEEKDAY(H25+INDEX(INTERVALOS,COLUMN()-COLUMN($B$1)),2))))</f>
        <v/>
      </c>
      <c r="J25" s="85">
        <f>IF($B25="","",IF(Y25&lt;&gt;"",Y25,(I25+INDEX(INTERVALOS,COLUMN()-COLUMN($B$1)))+INDEX(DESPLAZAMIENTO,WEEKDAY(I25+INDEX(INTERVALOS,COLUMN()-COLUMN($B$1)),2))))</f>
        <v/>
      </c>
      <c r="K25" s="85">
        <f>IF($B25="","",IF(Z25&lt;&gt;"",Z25,(J25+INDEX(INTERVALOS,COLUMN()-COLUMN($B$1)))+INDEX(DESPLAZAMIENTO,WEEKDAY(J25+INDEX(INTERVALOS,COLUMN()-COLUMN($B$1)),2))))</f>
        <v/>
      </c>
      <c r="AP25" s="26" t="n">
        <v>24</v>
      </c>
      <c r="AQ25" s="79">
        <f>IF($AN$3="","",$AN$3+(AP25-1)*DIAS_POR_SEMANA)</f>
        <v/>
      </c>
      <c r="AR25" s="79">
        <f>IF(AQ25="","",AQ25+DIAS_POR_SEMANA-1)</f>
        <v/>
      </c>
      <c r="AS25" s="26">
        <f>IF(AQ25="",0,SUMPRODUCT(($AB$2:$AK$41=ESTADO_EXITO)*($AZ$2:$BI$41&gt;=AQ25)*($AZ$2:$BI$41&lt;=AR25)))</f>
        <v/>
      </c>
      <c r="AT25" s="26">
        <f>IF(AQ25="",0,SUMPRODUCT(($AB$2:$AK$41=ESTADO_FALLO)*($AZ$2:$BI$41&gt;=AQ25)*($AZ$2:$BI$41&lt;=AR25)))</f>
        <v/>
      </c>
      <c r="AU25" s="28">
        <f>IF(AS25+AT25=0,"",AS25/(AS25+AT25))</f>
        <v/>
      </c>
      <c r="AV25" s="26">
        <f>AS25+AT25</f>
        <v/>
      </c>
      <c r="AW25" s="26">
        <f>SUM($AV$2:AV25)</f>
        <v/>
      </c>
      <c r="AX25" s="28">
        <f>IF(COUNTIFS(AU23:AU25,"&gt;=0")=0,"",SUM(AU23:AU25)/COUNTIFS(AU23:AU25,"&gt;=0"))</f>
        <v/>
      </c>
      <c r="AZ25" s="26">
        <f>IF(B25="",0,B25)</f>
        <v/>
      </c>
      <c r="BA25" s="26">
        <f>IF(C25="",0,C25)</f>
        <v/>
      </c>
      <c r="BB25" s="26">
        <f>IF(D25="",0,D25)</f>
        <v/>
      </c>
      <c r="BC25" s="26">
        <f>IF(E25="",0,E25)</f>
        <v/>
      </c>
      <c r="BD25" s="26">
        <f>IF(F25="",0,F25)</f>
        <v/>
      </c>
      <c r="BE25" s="26">
        <f>IF(G25="",0,G25)</f>
        <v/>
      </c>
      <c r="BF25" s="26">
        <f>IF(H25="",0,H25)</f>
        <v/>
      </c>
      <c r="BG25" s="26">
        <f>IF(I25="",0,I25)</f>
        <v/>
      </c>
      <c r="BH25" s="26">
        <f>IF(J25="",0,J25)</f>
        <v/>
      </c>
      <c r="BI25" s="26">
        <f>IF(K25="",0,K25)</f>
        <v/>
      </c>
    </row>
    <row r="26" ht="22.5" customHeight="1">
      <c r="A26" s="2" t="inlineStr">
        <is>
          <t>Tema 25</t>
        </is>
      </c>
      <c r="B26" s="78" t="n"/>
      <c r="C26" s="78">
        <f>IF($B26="","",IF(R26&lt;&gt;"",R26,(B26+INDEX(INTERVALOS,COLUMN()-COLUMN($B$1)))+INDEX(DESPLAZAMIENTO,WEEKDAY(B26+INDEX(INTERVALOS,COLUMN()-COLUMN($B$1)),2))))</f>
        <v/>
      </c>
      <c r="D26" s="78">
        <f>IF($B26="","",IF(S26&lt;&gt;"",S26,(C26+INDEX(INTERVALOS,COLUMN()-COLUMN($B$1)))+INDEX(DESPLAZAMIENTO,WEEKDAY(C26+INDEX(INTERVALOS,COLUMN()-COLUMN($B$1)),2))))</f>
        <v/>
      </c>
      <c r="E26" s="78">
        <f>IF($B26="","",IF(T26&lt;&gt;"",T26,(D26+INDEX(INTERVALOS,COLUMN()-COLUMN($B$1)))+INDEX(DESPLAZAMIENTO,WEEKDAY(D26+INDEX(INTERVALOS,COLUMN()-COLUMN($B$1)),2))))</f>
        <v/>
      </c>
      <c r="F26" s="78">
        <f>IF($B26="","",IF(U26&lt;&gt;"",U26,(E26+INDEX(INTERVALOS,COLUMN()-COLUMN($B$1)))+INDEX(DESPLAZAMIENTO,WEEKDAY(E26+INDEX(INTERVALOS,COLUMN()-COLUMN($B$1)),2))))</f>
        <v/>
      </c>
      <c r="G26" s="78">
        <f>IF($B26="","",IF(V26&lt;&gt;"",V26,(F26+INDEX(INTERVALOS,COLUMN()-COLUMN($B$1)))+INDEX(DESPLAZAMIENTO,WEEKDAY(F26+INDEX(INTERVALOS,COLUMN()-COLUMN($B$1)),2))))</f>
        <v/>
      </c>
      <c r="H26" s="78">
        <f>IF($B26="","",IF(W26&lt;&gt;"",W26,(G26+INDEX(INTERVALOS,COLUMN()-COLUMN($B$1)))+INDEX(DESPLAZAMIENTO,WEEKDAY(G26+INDEX(INTERVALOS,COLUMN()-COLUMN($B$1)),2))))</f>
        <v/>
      </c>
      <c r="I26" s="78">
        <f>IF($B26="","",IF(X26&lt;&gt;"",X26,(H26+INDEX(INTERVALOS,COLUMN()-COLUMN($B$1)))+INDEX(DESPLAZAMIENTO,WEEKDAY(H26+INDEX(INTERVALOS,COLUMN()-COLUMN($B$1)),2))))</f>
        <v/>
      </c>
      <c r="J26" s="78">
        <f>IF($B26="","",IF(Y26&lt;&gt;"",Y26,(I26+INDEX(INTERVALOS,COLUMN()-COLUMN($B$1)))+INDEX(DESPLAZAMIENTO,WEEKDAY(I26+INDEX(INTERVALOS,COLUMN()-COLUMN($B$1)),2))))</f>
        <v/>
      </c>
      <c r="K26" s="78">
        <f>IF($B26="","",IF(Z26&lt;&gt;"",Z26,(J26+INDEX(INTERVALOS,COLUMN()-COLUMN($B$1)))+INDEX(DESPLAZAMIENTO,WEEKDAY(J26+INDEX(INTERVALOS,COLUMN()-COLUMN($B$1)),2))))</f>
        <v/>
      </c>
      <c r="AP26" s="26" t="n">
        <v>25</v>
      </c>
      <c r="AQ26" s="79">
        <f>IF($AN$3="","",$AN$3+(AP26-1)*DIAS_POR_SEMANA)</f>
        <v/>
      </c>
      <c r="AR26" s="79">
        <f>IF(AQ26="","",AQ26+DIAS_POR_SEMANA-1)</f>
        <v/>
      </c>
      <c r="AS26" s="26">
        <f>IF(AQ26="",0,SUMPRODUCT(($AB$2:$AK$41=ESTADO_EXITO)*($AZ$2:$BI$41&gt;=AQ26)*($AZ$2:$BI$41&lt;=AR26)))</f>
        <v/>
      </c>
      <c r="AT26" s="26">
        <f>IF(AQ26="",0,SUMPRODUCT(($AB$2:$AK$41=ESTADO_FALLO)*($AZ$2:$BI$41&gt;=AQ26)*($AZ$2:$BI$41&lt;=AR26)))</f>
        <v/>
      </c>
      <c r="AU26" s="28">
        <f>IF(AS26+AT26=0,"",AS26/(AS26+AT26))</f>
        <v/>
      </c>
      <c r="AV26" s="26">
        <f>AS26+AT26</f>
        <v/>
      </c>
      <c r="AW26" s="26">
        <f>SUM($AV$2:AV26)</f>
        <v/>
      </c>
      <c r="AX26" s="28">
        <f>IF(COUNTIFS(AU24:AU26,"&gt;=0")=0,"",SUM(AU24:AU26)/COUNTIFS(AU24:AU26,"&gt;=0"))</f>
        <v/>
      </c>
      <c r="AZ26" s="26">
        <f>IF(B26="",0,B26)</f>
        <v/>
      </c>
      <c r="BA26" s="26">
        <f>IF(C26="",0,C26)</f>
        <v/>
      </c>
      <c r="BB26" s="26">
        <f>IF(D26="",0,D26)</f>
        <v/>
      </c>
      <c r="BC26" s="26">
        <f>IF(E26="",0,E26)</f>
        <v/>
      </c>
      <c r="BD26" s="26">
        <f>IF(F26="",0,F26)</f>
        <v/>
      </c>
      <c r="BE26" s="26">
        <f>IF(G26="",0,G26)</f>
        <v/>
      </c>
      <c r="BF26" s="26">
        <f>IF(H26="",0,H26)</f>
        <v/>
      </c>
      <c r="BG26" s="26">
        <f>IF(I26="",0,I26)</f>
        <v/>
      </c>
      <c r="BH26" s="26">
        <f>IF(J26="",0,J26)</f>
        <v/>
      </c>
      <c r="BI26" s="26">
        <f>IF(K26="",0,K26)</f>
        <v/>
      </c>
    </row>
    <row r="27" ht="22.5" customHeight="1">
      <c r="A27" s="4" t="inlineStr">
        <is>
          <t>Tema 26</t>
        </is>
      </c>
      <c r="B27" s="85" t="n"/>
      <c r="C27" s="85">
        <f>IF($B27="","",IF(R27&lt;&gt;"",R27,(B27+INDEX(INTERVALOS,COLUMN()-COLUMN($B$1)))+INDEX(DESPLAZAMIENTO,WEEKDAY(B27+INDEX(INTERVALOS,COLUMN()-COLUMN($B$1)),2))))</f>
        <v/>
      </c>
      <c r="D27" s="85">
        <f>IF($B27="","",IF(S27&lt;&gt;"",S27,(C27+INDEX(INTERVALOS,COLUMN()-COLUMN($B$1)))+INDEX(DESPLAZAMIENTO,WEEKDAY(C27+INDEX(INTERVALOS,COLUMN()-COLUMN($B$1)),2))))</f>
        <v/>
      </c>
      <c r="E27" s="85">
        <f>IF($B27="","",IF(T27&lt;&gt;"",T27,(D27+INDEX(INTERVALOS,COLUMN()-COLUMN($B$1)))+INDEX(DESPLAZAMIENTO,WEEKDAY(D27+INDEX(INTERVALOS,COLUMN()-COLUMN($B$1)),2))))</f>
        <v/>
      </c>
      <c r="F27" s="85">
        <f>IF($B27="","",IF(U27&lt;&gt;"",U27,(E27+INDEX(INTERVALOS,COLUMN()-COLUMN($B$1)))+INDEX(DESPLAZAMIENTO,WEEKDAY(E27+INDEX(INTERVALOS,COLUMN()-COLUMN($B$1)),2))))</f>
        <v/>
      </c>
      <c r="G27" s="85">
        <f>IF($B27="","",IF(V27&lt;&gt;"",V27,(F27+INDEX(INTERVALOS,COLUMN()-COLUMN($B$1)))+INDEX(DESPLAZAMIENTO,WEEKDAY(F27+INDEX(INTERVALOS,COLUMN()-COLUMN($B$1)),2))))</f>
        <v/>
      </c>
      <c r="H27" s="85">
        <f>IF($B27="","",IF(W27&lt;&gt;"",W27,(G27+INDEX(INTERVALOS,COLUMN()-COLUMN($B$1)))+INDEX(DESPLAZAMIENTO,WEEKDAY(G27+INDEX(INTERVALOS,COLUMN()-COLUMN($B$1)),2))))</f>
        <v/>
      </c>
      <c r="I27" s="85">
        <f>IF($B27="","",IF(X27&lt;&gt;"",X27,(H27+INDEX(INTERVALOS,COLUMN()-COLUMN($B$1)))+INDEX(DESPLAZAMIENTO,WEEKDAY(H27+INDEX(INTERVALOS,COLUMN()-COLUMN($B$1)),2))))</f>
        <v/>
      </c>
      <c r="J27" s="85">
        <f>IF($B27="","",IF(Y27&lt;&gt;"",Y27,(I27+INDEX(INTERVALOS,COLUMN()-COLUMN($B$1)))+INDEX(DESPLAZAMIENTO,WEEKDAY(I27+INDEX(INTERVALOS,COLUMN()-COLUMN($B$1)),2))))</f>
        <v/>
      </c>
      <c r="K27" s="85">
        <f>IF($B27="","",IF(Z27&lt;&gt;"",Z27,(J27+INDEX(INTERVALOS,COLUMN()-COLUMN($B$1)))+INDEX(DESPLAZAMIENTO,WEEKDAY(J27+INDEX(INTERVALOS,COLUMN()-COLUMN($B$1)),2))))</f>
        <v/>
      </c>
      <c r="AP27" s="26" t="n">
        <v>26</v>
      </c>
      <c r="AQ27" s="79">
        <f>IF($AN$3="","",$AN$3+(AP27-1)*DIAS_POR_SEMANA)</f>
        <v/>
      </c>
      <c r="AR27" s="79">
        <f>IF(AQ27="","",AQ27+DIAS_POR_SEMANA-1)</f>
        <v/>
      </c>
      <c r="AS27" s="26">
        <f>IF(AQ27="",0,SUMPRODUCT(($AB$2:$AK$41=ESTADO_EXITO)*($AZ$2:$BI$41&gt;=AQ27)*($AZ$2:$BI$41&lt;=AR27)))</f>
        <v/>
      </c>
      <c r="AT27" s="26">
        <f>IF(AQ27="",0,SUMPRODUCT(($AB$2:$AK$41=ESTADO_FALLO)*($AZ$2:$BI$41&gt;=AQ27)*($AZ$2:$BI$41&lt;=AR27)))</f>
        <v/>
      </c>
      <c r="AU27" s="28">
        <f>IF(AS27+AT27=0,"",AS27/(AS27+AT27))</f>
        <v/>
      </c>
      <c r="AV27" s="26">
        <f>AS27+AT27</f>
        <v/>
      </c>
      <c r="AW27" s="26">
        <f>SUM($AV$2:AV27)</f>
        <v/>
      </c>
      <c r="AX27" s="28">
        <f>IF(COUNTIFS(AU25:AU27,"&gt;=0")=0,"",SUM(AU25:AU27)/COUNTIFS(AU25:AU27,"&gt;=0"))</f>
        <v/>
      </c>
      <c r="AZ27" s="26">
        <f>IF(B27="",0,B27)</f>
        <v/>
      </c>
      <c r="BA27" s="26">
        <f>IF(C27="",0,C27)</f>
        <v/>
      </c>
      <c r="BB27" s="26">
        <f>IF(D27="",0,D27)</f>
        <v/>
      </c>
      <c r="BC27" s="26">
        <f>IF(E27="",0,E27)</f>
        <v/>
      </c>
      <c r="BD27" s="26">
        <f>IF(F27="",0,F27)</f>
        <v/>
      </c>
      <c r="BE27" s="26">
        <f>IF(G27="",0,G27)</f>
        <v/>
      </c>
      <c r="BF27" s="26">
        <f>IF(H27="",0,H27)</f>
        <v/>
      </c>
      <c r="BG27" s="26">
        <f>IF(I27="",0,I27)</f>
        <v/>
      </c>
      <c r="BH27" s="26">
        <f>IF(J27="",0,J27)</f>
        <v/>
      </c>
      <c r="BI27" s="26">
        <f>IF(K27="",0,K27)</f>
        <v/>
      </c>
    </row>
    <row r="28" ht="22.5" customHeight="1">
      <c r="A28" s="2" t="inlineStr">
        <is>
          <t>Tema 27</t>
        </is>
      </c>
      <c r="B28" s="78" t="n"/>
      <c r="C28" s="78">
        <f>IF($B28="","",IF(R28&lt;&gt;"",R28,(B28+INDEX(INTERVALOS,COLUMN()-COLUMN($B$1)))+INDEX(DESPLAZAMIENTO,WEEKDAY(B28+INDEX(INTERVALOS,COLUMN()-COLUMN($B$1)),2))))</f>
        <v/>
      </c>
      <c r="D28" s="78">
        <f>IF($B28="","",IF(S28&lt;&gt;"",S28,(C28+INDEX(INTERVALOS,COLUMN()-COLUMN($B$1)))+INDEX(DESPLAZAMIENTO,WEEKDAY(C28+INDEX(INTERVALOS,COLUMN()-COLUMN($B$1)),2))))</f>
        <v/>
      </c>
      <c r="E28" s="78">
        <f>IF($B28="","",IF(T28&lt;&gt;"",T28,(D28+INDEX(INTERVALOS,COLUMN()-COLUMN($B$1)))+INDEX(DESPLAZAMIENTO,WEEKDAY(D28+INDEX(INTERVALOS,COLUMN()-COLUMN($B$1)),2))))</f>
        <v/>
      </c>
      <c r="F28" s="78">
        <f>IF($B28="","",IF(U28&lt;&gt;"",U28,(E28+INDEX(INTERVALOS,COLUMN()-COLUMN($B$1)))+INDEX(DESPLAZAMIENTO,WEEKDAY(E28+INDEX(INTERVALOS,COLUMN()-COLUMN($B$1)),2))))</f>
        <v/>
      </c>
      <c r="G28" s="78">
        <f>IF($B28="","",IF(V28&lt;&gt;"",V28,(F28+INDEX(INTERVALOS,COLUMN()-COLUMN($B$1)))+INDEX(DESPLAZAMIENTO,WEEKDAY(F28+INDEX(INTERVALOS,COLUMN()-COLUMN($B$1)),2))))</f>
        <v/>
      </c>
      <c r="H28" s="78">
        <f>IF($B28="","",IF(W28&lt;&gt;"",W28,(G28+INDEX(INTERVALOS,COLUMN()-COLUMN($B$1)))+INDEX(DESPLAZAMIENTO,WEEKDAY(G28+INDEX(INTERVALOS,COLUMN()-COLUMN($B$1)),2))))</f>
        <v/>
      </c>
      <c r="I28" s="78">
        <f>IF($B28="","",IF(X28&lt;&gt;"",X28,(H28+INDEX(INTERVALOS,COLUMN()-COLUMN($B$1)))+INDEX(DESPLAZAMIENTO,WEEKDAY(H28+INDEX(INTERVALOS,COLUMN()-COLUMN($B$1)),2))))</f>
        <v/>
      </c>
      <c r="J28" s="78">
        <f>IF($B28="","",IF(Y28&lt;&gt;"",Y28,(I28+INDEX(INTERVALOS,COLUMN()-COLUMN($B$1)))+INDEX(DESPLAZAMIENTO,WEEKDAY(I28+INDEX(INTERVALOS,COLUMN()-COLUMN($B$1)),2))))</f>
        <v/>
      </c>
      <c r="K28" s="78">
        <f>IF($B28="","",IF(Z28&lt;&gt;"",Z28,(J28+INDEX(INTERVALOS,COLUMN()-COLUMN($B$1)))+INDEX(DESPLAZAMIENTO,WEEKDAY(J28+INDEX(INTERVALOS,COLUMN()-COLUMN($B$1)),2))))</f>
        <v/>
      </c>
      <c r="AP28" s="26" t="n">
        <v>27</v>
      </c>
      <c r="AQ28" s="79">
        <f>IF($AN$3="","",$AN$3+(AP28-1)*DIAS_POR_SEMANA)</f>
        <v/>
      </c>
      <c r="AR28" s="79">
        <f>IF(AQ28="","",AQ28+DIAS_POR_SEMANA-1)</f>
        <v/>
      </c>
      <c r="AS28" s="26">
        <f>IF(AQ28="",0,SUMPRODUCT(($AB$2:$AK$41=ESTADO_EXITO)*($AZ$2:$BI$41&gt;=AQ28)*($AZ$2:$BI$41&lt;=AR28)))</f>
        <v/>
      </c>
      <c r="AT28" s="26">
        <f>IF(AQ28="",0,SUMPRODUCT(($AB$2:$AK$41=ESTADO_FALLO)*($AZ$2:$BI$41&gt;=AQ28)*($AZ$2:$BI$41&lt;=AR28)))</f>
        <v/>
      </c>
      <c r="AU28" s="28">
        <f>IF(AS28+AT28=0,"",AS28/(AS28+AT28))</f>
        <v/>
      </c>
      <c r="AV28" s="26">
        <f>AS28+AT28</f>
        <v/>
      </c>
      <c r="AW28" s="26">
        <f>SUM($AV$2:AV28)</f>
        <v/>
      </c>
      <c r="AX28" s="28">
        <f>IF(COUNTIFS(AU26:AU28,"&gt;=0")=0,"",SUM(AU26:AU28)/COUNTIFS(AU26:AU28,"&gt;=0"))</f>
        <v/>
      </c>
      <c r="AZ28" s="26">
        <f>IF(B28="",0,B28)</f>
        <v/>
      </c>
      <c r="BA28" s="26">
        <f>IF(C28="",0,C28)</f>
        <v/>
      </c>
      <c r="BB28" s="26">
        <f>IF(D28="",0,D28)</f>
        <v/>
      </c>
      <c r="BC28" s="26">
        <f>IF(E28="",0,E28)</f>
        <v/>
      </c>
      <c r="BD28" s="26">
        <f>IF(F28="",0,F28)</f>
        <v/>
      </c>
      <c r="BE28" s="26">
        <f>IF(G28="",0,G28)</f>
        <v/>
      </c>
      <c r="BF28" s="26">
        <f>IF(H28="",0,H28)</f>
        <v/>
      </c>
      <c r="BG28" s="26">
        <f>IF(I28="",0,I28)</f>
        <v/>
      </c>
      <c r="BH28" s="26">
        <f>IF(J28="",0,J28)</f>
        <v/>
      </c>
      <c r="BI28" s="26">
        <f>IF(K28="",0,K28)</f>
        <v/>
      </c>
    </row>
    <row r="29" ht="22.5" customHeight="1">
      <c r="A29" s="4" t="inlineStr">
        <is>
          <t>Tema 28</t>
        </is>
      </c>
      <c r="B29" s="85" t="n"/>
      <c r="C29" s="85">
        <f>IF($B29="","",IF(R29&lt;&gt;"",R29,(B29+INDEX(INTERVALOS,COLUMN()-COLUMN($B$1)))+INDEX(DESPLAZAMIENTO,WEEKDAY(B29+INDEX(INTERVALOS,COLUMN()-COLUMN($B$1)),2))))</f>
        <v/>
      </c>
      <c r="D29" s="85">
        <f>IF($B29="","",IF(S29&lt;&gt;"",S29,(C29+INDEX(INTERVALOS,COLUMN()-COLUMN($B$1)))+INDEX(DESPLAZAMIENTO,WEEKDAY(C29+INDEX(INTERVALOS,COLUMN()-COLUMN($B$1)),2))))</f>
        <v/>
      </c>
      <c r="E29" s="85">
        <f>IF($B29="","",IF(T29&lt;&gt;"",T29,(D29+INDEX(INTERVALOS,COLUMN()-COLUMN($B$1)))+INDEX(DESPLAZAMIENTO,WEEKDAY(D29+INDEX(INTERVALOS,COLUMN()-COLUMN($B$1)),2))))</f>
        <v/>
      </c>
      <c r="F29" s="85">
        <f>IF($B29="","",IF(U29&lt;&gt;"",U29,(E29+INDEX(INTERVALOS,COLUMN()-COLUMN($B$1)))+INDEX(DESPLAZAMIENTO,WEEKDAY(E29+INDEX(INTERVALOS,COLUMN()-COLUMN($B$1)),2))))</f>
        <v/>
      </c>
      <c r="G29" s="85">
        <f>IF($B29="","",IF(V29&lt;&gt;"",V29,(F29+INDEX(INTERVALOS,COLUMN()-COLUMN($B$1)))+INDEX(DESPLAZAMIENTO,WEEKDAY(F29+INDEX(INTERVALOS,COLUMN()-COLUMN($B$1)),2))))</f>
        <v/>
      </c>
      <c r="H29" s="85">
        <f>IF($B29="","",IF(W29&lt;&gt;"",W29,(G29+INDEX(INTERVALOS,COLUMN()-COLUMN($B$1)))+INDEX(DESPLAZAMIENTO,WEEKDAY(G29+INDEX(INTERVALOS,COLUMN()-COLUMN($B$1)),2))))</f>
        <v/>
      </c>
      <c r="I29" s="85">
        <f>IF($B29="","",IF(X29&lt;&gt;"",X29,(H29+INDEX(INTERVALOS,COLUMN()-COLUMN($B$1)))+INDEX(DESPLAZAMIENTO,WEEKDAY(H29+INDEX(INTERVALOS,COLUMN()-COLUMN($B$1)),2))))</f>
        <v/>
      </c>
      <c r="J29" s="85">
        <f>IF($B29="","",IF(Y29&lt;&gt;"",Y29,(I29+INDEX(INTERVALOS,COLUMN()-COLUMN($B$1)))+INDEX(DESPLAZAMIENTO,WEEKDAY(I29+INDEX(INTERVALOS,COLUMN()-COLUMN($B$1)),2))))</f>
        <v/>
      </c>
      <c r="K29" s="85">
        <f>IF($B29="","",IF(Z29&lt;&gt;"",Z29,(J29+INDEX(INTERVALOS,COLUMN()-COLUMN($B$1)))+INDEX(DESPLAZAMIENTO,WEEKDAY(J29+INDEX(INTERVALOS,COLUMN()-COLUMN($B$1)),2))))</f>
        <v/>
      </c>
      <c r="AP29" s="26" t="n">
        <v>28</v>
      </c>
      <c r="AQ29" s="79">
        <f>IF($AN$3="","",$AN$3+(AP29-1)*DIAS_POR_SEMANA)</f>
        <v/>
      </c>
      <c r="AR29" s="79">
        <f>IF(AQ29="","",AQ29+DIAS_POR_SEMANA-1)</f>
        <v/>
      </c>
      <c r="AS29" s="26">
        <f>IF(AQ29="",0,SUMPRODUCT(($AB$2:$AK$41=ESTADO_EXITO)*($AZ$2:$BI$41&gt;=AQ29)*($AZ$2:$BI$41&lt;=AR29)))</f>
        <v/>
      </c>
      <c r="AT29" s="26">
        <f>IF(AQ29="",0,SUMPRODUCT(($AB$2:$AK$41=ESTADO_FALLO)*($AZ$2:$BI$41&gt;=AQ29)*($AZ$2:$BI$41&lt;=AR29)))</f>
        <v/>
      </c>
      <c r="AU29" s="28">
        <f>IF(AS29+AT29=0,"",AS29/(AS29+AT29))</f>
        <v/>
      </c>
      <c r="AV29" s="26">
        <f>AS29+AT29</f>
        <v/>
      </c>
      <c r="AW29" s="26">
        <f>SUM($AV$2:AV29)</f>
        <v/>
      </c>
      <c r="AX29" s="28">
        <f>IF(COUNTIFS(AU27:AU29,"&gt;=0")=0,"",SUM(AU27:AU29)/COUNTIFS(AU27:AU29,"&gt;=0"))</f>
        <v/>
      </c>
      <c r="AZ29" s="26">
        <f>IF(B29="",0,B29)</f>
        <v/>
      </c>
      <c r="BA29" s="26">
        <f>IF(C29="",0,C29)</f>
        <v/>
      </c>
      <c r="BB29" s="26">
        <f>IF(D29="",0,D29)</f>
        <v/>
      </c>
      <c r="BC29" s="26">
        <f>IF(E29="",0,E29)</f>
        <v/>
      </c>
      <c r="BD29" s="26">
        <f>IF(F29="",0,F29)</f>
        <v/>
      </c>
      <c r="BE29" s="26">
        <f>IF(G29="",0,G29)</f>
        <v/>
      </c>
      <c r="BF29" s="26">
        <f>IF(H29="",0,H29)</f>
        <v/>
      </c>
      <c r="BG29" s="26">
        <f>IF(I29="",0,I29)</f>
        <v/>
      </c>
      <c r="BH29" s="26">
        <f>IF(J29="",0,J29)</f>
        <v/>
      </c>
      <c r="BI29" s="26">
        <f>IF(K29="",0,K29)</f>
        <v/>
      </c>
    </row>
    <row r="30" ht="22.5" customHeight="1">
      <c r="A30" s="2" t="inlineStr">
        <is>
          <t>Tema 29</t>
        </is>
      </c>
      <c r="B30" s="78" t="n"/>
      <c r="C30" s="78">
        <f>IF($B30="","",IF(R30&lt;&gt;"",R30,(B30+INDEX(INTERVALOS,COLUMN()-COLUMN($B$1)))+INDEX(DESPLAZAMIENTO,WEEKDAY(B30+INDEX(INTERVALOS,COLUMN()-COLUMN($B$1)),2))))</f>
        <v/>
      </c>
      <c r="D30" s="78">
        <f>IF($B30="","",IF(S30&lt;&gt;"",S30,(C30+INDEX(INTERVALOS,COLUMN()-COLUMN($B$1)))+INDEX(DESPLAZAMIENTO,WEEKDAY(C30+INDEX(INTERVALOS,COLUMN()-COLUMN($B$1)),2))))</f>
        <v/>
      </c>
      <c r="E30" s="78">
        <f>IF($B30="","",IF(T30&lt;&gt;"",T30,(D30+INDEX(INTERVALOS,COLUMN()-COLUMN($B$1)))+INDEX(DESPLAZAMIENTO,WEEKDAY(D30+INDEX(INTERVALOS,COLUMN()-COLUMN($B$1)),2))))</f>
        <v/>
      </c>
      <c r="F30" s="78">
        <f>IF($B30="","",IF(U30&lt;&gt;"",U30,(E30+INDEX(INTERVALOS,COLUMN()-COLUMN($B$1)))+INDEX(DESPLAZAMIENTO,WEEKDAY(E30+INDEX(INTERVALOS,COLUMN()-COLUMN($B$1)),2))))</f>
        <v/>
      </c>
      <c r="G30" s="78">
        <f>IF($B30="","",IF(V30&lt;&gt;"",V30,(F30+INDEX(INTERVALOS,COLUMN()-COLUMN($B$1)))+INDEX(DESPLAZAMIENTO,WEEKDAY(F30+INDEX(INTERVALOS,COLUMN()-COLUMN($B$1)),2))))</f>
        <v/>
      </c>
      <c r="H30" s="78">
        <f>IF($B30="","",IF(W30&lt;&gt;"",W30,(G30+INDEX(INTERVALOS,COLUMN()-COLUMN($B$1)))+INDEX(DESPLAZAMIENTO,WEEKDAY(G30+INDEX(INTERVALOS,COLUMN()-COLUMN($B$1)),2))))</f>
        <v/>
      </c>
      <c r="I30" s="78">
        <f>IF($B30="","",IF(X30&lt;&gt;"",X30,(H30+INDEX(INTERVALOS,COLUMN()-COLUMN($B$1)))+INDEX(DESPLAZAMIENTO,WEEKDAY(H30+INDEX(INTERVALOS,COLUMN()-COLUMN($B$1)),2))))</f>
        <v/>
      </c>
      <c r="J30" s="78">
        <f>IF($B30="","",IF(Y30&lt;&gt;"",Y30,(I30+INDEX(INTERVALOS,COLUMN()-COLUMN($B$1)))+INDEX(DESPLAZAMIENTO,WEEKDAY(I30+INDEX(INTERVALOS,COLUMN()-COLUMN($B$1)),2))))</f>
        <v/>
      </c>
      <c r="K30" s="78">
        <f>IF($B30="","",IF(Z30&lt;&gt;"",Z30,(J30+INDEX(INTERVALOS,COLUMN()-COLUMN($B$1)))+INDEX(DESPLAZAMIENTO,WEEKDAY(J30+INDEX(INTERVALOS,COLUMN()-COLUMN($B$1)),2))))</f>
        <v/>
      </c>
      <c r="AP30" s="26" t="n">
        <v>29</v>
      </c>
      <c r="AQ30" s="79">
        <f>IF($AN$3="","",$AN$3+(AP30-1)*DIAS_POR_SEMANA)</f>
        <v/>
      </c>
      <c r="AR30" s="79">
        <f>IF(AQ30="","",AQ30+DIAS_POR_SEMANA-1)</f>
        <v/>
      </c>
      <c r="AS30" s="26">
        <f>IF(AQ30="",0,SUMPRODUCT(($AB$2:$AK$41=ESTADO_EXITO)*($AZ$2:$BI$41&gt;=AQ30)*($AZ$2:$BI$41&lt;=AR30)))</f>
        <v/>
      </c>
      <c r="AT30" s="26">
        <f>IF(AQ30="",0,SUMPRODUCT(($AB$2:$AK$41=ESTADO_FALLO)*($AZ$2:$BI$41&gt;=AQ30)*($AZ$2:$BI$41&lt;=AR30)))</f>
        <v/>
      </c>
      <c r="AU30" s="28">
        <f>IF(AS30+AT30=0,"",AS30/(AS30+AT30))</f>
        <v/>
      </c>
      <c r="AV30" s="26">
        <f>AS30+AT30</f>
        <v/>
      </c>
      <c r="AW30" s="26">
        <f>SUM($AV$2:AV30)</f>
        <v/>
      </c>
      <c r="AX30" s="28">
        <f>IF(COUNTIFS(AU28:AU30,"&gt;=0")=0,"",SUM(AU28:AU30)/COUNTIFS(AU28:AU30,"&gt;=0"))</f>
        <v/>
      </c>
      <c r="AZ30" s="26">
        <f>IF(B30="",0,B30)</f>
        <v/>
      </c>
      <c r="BA30" s="26">
        <f>IF(C30="",0,C30)</f>
        <v/>
      </c>
      <c r="BB30" s="26">
        <f>IF(D30="",0,D30)</f>
        <v/>
      </c>
      <c r="BC30" s="26">
        <f>IF(E30="",0,E30)</f>
        <v/>
      </c>
      <c r="BD30" s="26">
        <f>IF(F30="",0,F30)</f>
        <v/>
      </c>
      <c r="BE30" s="26">
        <f>IF(G30="",0,G30)</f>
        <v/>
      </c>
      <c r="BF30" s="26">
        <f>IF(H30="",0,H30)</f>
        <v/>
      </c>
      <c r="BG30" s="26">
        <f>IF(I30="",0,I30)</f>
        <v/>
      </c>
      <c r="BH30" s="26">
        <f>IF(J30="",0,J30)</f>
        <v/>
      </c>
      <c r="BI30" s="26">
        <f>IF(K30="",0,K30)</f>
        <v/>
      </c>
    </row>
    <row r="31" ht="22.5" customHeight="1">
      <c r="A31" s="4" t="inlineStr">
        <is>
          <t>Tema 30</t>
        </is>
      </c>
      <c r="B31" s="85" t="n"/>
      <c r="C31" s="85">
        <f>IF($B31="","",IF(R31&lt;&gt;"",R31,(B31+INDEX(INTERVALOS,COLUMN()-COLUMN($B$1)))+INDEX(DESPLAZAMIENTO,WEEKDAY(B31+INDEX(INTERVALOS,COLUMN()-COLUMN($B$1)),2))))</f>
        <v/>
      </c>
      <c r="D31" s="85">
        <f>IF($B31="","",IF(S31&lt;&gt;"",S31,(C31+INDEX(INTERVALOS,COLUMN()-COLUMN($B$1)))+INDEX(DESPLAZAMIENTO,WEEKDAY(C31+INDEX(INTERVALOS,COLUMN()-COLUMN($B$1)),2))))</f>
        <v/>
      </c>
      <c r="E31" s="85">
        <f>IF($B31="","",IF(T31&lt;&gt;"",T31,(D31+INDEX(INTERVALOS,COLUMN()-COLUMN($B$1)))+INDEX(DESPLAZAMIENTO,WEEKDAY(D31+INDEX(INTERVALOS,COLUMN()-COLUMN($B$1)),2))))</f>
        <v/>
      </c>
      <c r="F31" s="85">
        <f>IF($B31="","",IF(U31&lt;&gt;"",U31,(E31+INDEX(INTERVALOS,COLUMN()-COLUMN($B$1)))+INDEX(DESPLAZAMIENTO,WEEKDAY(E31+INDEX(INTERVALOS,COLUMN()-COLUMN($B$1)),2))))</f>
        <v/>
      </c>
      <c r="G31" s="85">
        <f>IF($B31="","",IF(V31&lt;&gt;"",V31,(F31+INDEX(INTERVALOS,COLUMN()-COLUMN($B$1)))+INDEX(DESPLAZAMIENTO,WEEKDAY(F31+INDEX(INTERVALOS,COLUMN()-COLUMN($B$1)),2))))</f>
        <v/>
      </c>
      <c r="H31" s="85">
        <f>IF($B31="","",IF(W31&lt;&gt;"",W31,(G31+INDEX(INTERVALOS,COLUMN()-COLUMN($B$1)))+INDEX(DESPLAZAMIENTO,WEEKDAY(G31+INDEX(INTERVALOS,COLUMN()-COLUMN($B$1)),2))))</f>
        <v/>
      </c>
      <c r="I31" s="85">
        <f>IF($B31="","",IF(X31&lt;&gt;"",X31,(H31+INDEX(INTERVALOS,COLUMN()-COLUMN($B$1)))+INDEX(DESPLAZAMIENTO,WEEKDAY(H31+INDEX(INTERVALOS,COLUMN()-COLUMN($B$1)),2))))</f>
        <v/>
      </c>
      <c r="J31" s="85">
        <f>IF($B31="","",IF(Y31&lt;&gt;"",Y31,(I31+INDEX(INTERVALOS,COLUMN()-COLUMN($B$1)))+INDEX(DESPLAZAMIENTO,WEEKDAY(I31+INDEX(INTERVALOS,COLUMN()-COLUMN($B$1)),2))))</f>
        <v/>
      </c>
      <c r="K31" s="85">
        <f>IF($B31="","",IF(Z31&lt;&gt;"",Z31,(J31+INDEX(INTERVALOS,COLUMN()-COLUMN($B$1)))+INDEX(DESPLAZAMIENTO,WEEKDAY(J31+INDEX(INTERVALOS,COLUMN()-COLUMN($B$1)),2))))</f>
        <v/>
      </c>
      <c r="AP31" s="26" t="n">
        <v>30</v>
      </c>
      <c r="AQ31" s="79">
        <f>IF($AN$3="","",$AN$3+(AP31-1)*DIAS_POR_SEMANA)</f>
        <v/>
      </c>
      <c r="AR31" s="79">
        <f>IF(AQ31="","",AQ31+DIAS_POR_SEMANA-1)</f>
        <v/>
      </c>
      <c r="AS31" s="26">
        <f>IF(AQ31="",0,SUMPRODUCT(($AB$2:$AK$41=ESTADO_EXITO)*($AZ$2:$BI$41&gt;=AQ31)*($AZ$2:$BI$41&lt;=AR31)))</f>
        <v/>
      </c>
      <c r="AT31" s="26">
        <f>IF(AQ31="",0,SUMPRODUCT(($AB$2:$AK$41=ESTADO_FALLO)*($AZ$2:$BI$41&gt;=AQ31)*($AZ$2:$BI$41&lt;=AR31)))</f>
        <v/>
      </c>
      <c r="AU31" s="28">
        <f>IF(AS31+AT31=0,"",AS31/(AS31+AT31))</f>
        <v/>
      </c>
      <c r="AV31" s="26">
        <f>AS31+AT31</f>
        <v/>
      </c>
      <c r="AW31" s="26">
        <f>SUM($AV$2:AV31)</f>
        <v/>
      </c>
      <c r="AX31" s="28">
        <f>IF(COUNTIFS(AU29:AU31,"&gt;=0")=0,"",SUM(AU29:AU31)/COUNTIFS(AU29:AU31,"&gt;=0"))</f>
        <v/>
      </c>
      <c r="AZ31" s="26">
        <f>IF(B31="",0,B31)</f>
        <v/>
      </c>
      <c r="BA31" s="26">
        <f>IF(C31="",0,C31)</f>
        <v/>
      </c>
      <c r="BB31" s="26">
        <f>IF(D31="",0,D31)</f>
        <v/>
      </c>
      <c r="BC31" s="26">
        <f>IF(E31="",0,E31)</f>
        <v/>
      </c>
      <c r="BD31" s="26">
        <f>IF(F31="",0,F31)</f>
        <v/>
      </c>
      <c r="BE31" s="26">
        <f>IF(G31="",0,G31)</f>
        <v/>
      </c>
      <c r="BF31" s="26">
        <f>IF(H31="",0,H31)</f>
        <v/>
      </c>
      <c r="BG31" s="26">
        <f>IF(I31="",0,I31)</f>
        <v/>
      </c>
      <c r="BH31" s="26">
        <f>IF(J31="",0,J31)</f>
        <v/>
      </c>
      <c r="BI31" s="26">
        <f>IF(K31="",0,K31)</f>
        <v/>
      </c>
    </row>
    <row r="32" ht="22.5" customHeight="1">
      <c r="A32" s="2" t="inlineStr">
        <is>
          <t>Tema 31</t>
        </is>
      </c>
      <c r="B32" s="78" t="n"/>
      <c r="C32" s="78">
        <f>IF($B32="","",IF(R32&lt;&gt;"",R32,(B32+INDEX(INTERVALOS,COLUMN()-COLUMN($B$1)))+INDEX(DESPLAZAMIENTO,WEEKDAY(B32+INDEX(INTERVALOS,COLUMN()-COLUMN($B$1)),2))))</f>
        <v/>
      </c>
      <c r="D32" s="78">
        <f>IF($B32="","",IF(S32&lt;&gt;"",S32,(C32+INDEX(INTERVALOS,COLUMN()-COLUMN($B$1)))+INDEX(DESPLAZAMIENTO,WEEKDAY(C32+INDEX(INTERVALOS,COLUMN()-COLUMN($B$1)),2))))</f>
        <v/>
      </c>
      <c r="E32" s="78">
        <f>IF($B32="","",IF(T32&lt;&gt;"",T32,(D32+INDEX(INTERVALOS,COLUMN()-COLUMN($B$1)))+INDEX(DESPLAZAMIENTO,WEEKDAY(D32+INDEX(INTERVALOS,COLUMN()-COLUMN($B$1)),2))))</f>
        <v/>
      </c>
      <c r="F32" s="78">
        <f>IF($B32="","",IF(U32&lt;&gt;"",U32,(E32+INDEX(INTERVALOS,COLUMN()-COLUMN($B$1)))+INDEX(DESPLAZAMIENTO,WEEKDAY(E32+INDEX(INTERVALOS,COLUMN()-COLUMN($B$1)),2))))</f>
        <v/>
      </c>
      <c r="G32" s="78">
        <f>IF($B32="","",IF(V32&lt;&gt;"",V32,(F32+INDEX(INTERVALOS,COLUMN()-COLUMN($B$1)))+INDEX(DESPLAZAMIENTO,WEEKDAY(F32+INDEX(INTERVALOS,COLUMN()-COLUMN($B$1)),2))))</f>
        <v/>
      </c>
      <c r="H32" s="78">
        <f>IF($B32="","",IF(W32&lt;&gt;"",W32,(G32+INDEX(INTERVALOS,COLUMN()-COLUMN($B$1)))+INDEX(DESPLAZAMIENTO,WEEKDAY(G32+INDEX(INTERVALOS,COLUMN()-COLUMN($B$1)),2))))</f>
        <v/>
      </c>
      <c r="I32" s="78">
        <f>IF($B32="","",IF(X32&lt;&gt;"",X32,(H32+INDEX(INTERVALOS,COLUMN()-COLUMN($B$1)))+INDEX(DESPLAZAMIENTO,WEEKDAY(H32+INDEX(INTERVALOS,COLUMN()-COLUMN($B$1)),2))))</f>
        <v/>
      </c>
      <c r="J32" s="78">
        <f>IF($B32="","",IF(Y32&lt;&gt;"",Y32,(I32+INDEX(INTERVALOS,COLUMN()-COLUMN($B$1)))+INDEX(DESPLAZAMIENTO,WEEKDAY(I32+INDEX(INTERVALOS,COLUMN()-COLUMN($B$1)),2))))</f>
        <v/>
      </c>
      <c r="K32" s="78">
        <f>IF($B32="","",IF(Z32&lt;&gt;"",Z32,(J32+INDEX(INTERVALOS,COLUMN()-COLUMN($B$1)))+INDEX(DESPLAZAMIENTO,WEEKDAY(J32+INDEX(INTERVALOS,COLUMN()-COLUMN($B$1)),2))))</f>
        <v/>
      </c>
      <c r="AP32" s="26" t="n">
        <v>31</v>
      </c>
      <c r="AQ32" s="79">
        <f>IF($AN$3="","",$AN$3+(AP32-1)*DIAS_POR_SEMANA)</f>
        <v/>
      </c>
      <c r="AR32" s="79">
        <f>IF(AQ32="","",AQ32+DIAS_POR_SEMANA-1)</f>
        <v/>
      </c>
      <c r="AS32" s="26">
        <f>IF(AQ32="",0,SUMPRODUCT(($AB$2:$AK$41=ESTADO_EXITO)*($AZ$2:$BI$41&gt;=AQ32)*($AZ$2:$BI$41&lt;=AR32)))</f>
        <v/>
      </c>
      <c r="AT32" s="26">
        <f>IF(AQ32="",0,SUMPRODUCT(($AB$2:$AK$41=ESTADO_FALLO)*($AZ$2:$BI$41&gt;=AQ32)*($AZ$2:$BI$41&lt;=AR32)))</f>
        <v/>
      </c>
      <c r="AU32" s="28">
        <f>IF(AS32+AT32=0,"",AS32/(AS32+AT32))</f>
        <v/>
      </c>
      <c r="AV32" s="26">
        <f>AS32+AT32</f>
        <v/>
      </c>
      <c r="AW32" s="26">
        <f>SUM($AV$2:AV32)</f>
        <v/>
      </c>
      <c r="AX32" s="28">
        <f>IF(COUNTIFS(AU30:AU32,"&gt;=0")=0,"",SUM(AU30:AU32)/COUNTIFS(AU30:AU32,"&gt;=0"))</f>
        <v/>
      </c>
      <c r="AZ32" s="26">
        <f>IF(B32="",0,B32)</f>
        <v/>
      </c>
      <c r="BA32" s="26">
        <f>IF(C32="",0,C32)</f>
        <v/>
      </c>
      <c r="BB32" s="26">
        <f>IF(D32="",0,D32)</f>
        <v/>
      </c>
      <c r="BC32" s="26">
        <f>IF(E32="",0,E32)</f>
        <v/>
      </c>
      <c r="BD32" s="26">
        <f>IF(F32="",0,F32)</f>
        <v/>
      </c>
      <c r="BE32" s="26">
        <f>IF(G32="",0,G32)</f>
        <v/>
      </c>
      <c r="BF32" s="26">
        <f>IF(H32="",0,H32)</f>
        <v/>
      </c>
      <c r="BG32" s="26">
        <f>IF(I32="",0,I32)</f>
        <v/>
      </c>
      <c r="BH32" s="26">
        <f>IF(J32="",0,J32)</f>
        <v/>
      </c>
      <c r="BI32" s="26">
        <f>IF(K32="",0,K32)</f>
        <v/>
      </c>
    </row>
    <row r="33" ht="22.5" customHeight="1">
      <c r="A33" s="4" t="inlineStr">
        <is>
          <t>Tema 32</t>
        </is>
      </c>
      <c r="B33" s="85" t="n"/>
      <c r="C33" s="85">
        <f>IF($B33="","",IF(R33&lt;&gt;"",R33,(B33+INDEX(INTERVALOS,COLUMN()-COLUMN($B$1)))+INDEX(DESPLAZAMIENTO,WEEKDAY(B33+INDEX(INTERVALOS,COLUMN()-COLUMN($B$1)),2))))</f>
        <v/>
      </c>
      <c r="D33" s="85">
        <f>IF($B33="","",IF(S33&lt;&gt;"",S33,(C33+INDEX(INTERVALOS,COLUMN()-COLUMN($B$1)))+INDEX(DESPLAZAMIENTO,WEEKDAY(C33+INDEX(INTERVALOS,COLUMN()-COLUMN($B$1)),2))))</f>
        <v/>
      </c>
      <c r="E33" s="85">
        <f>IF($B33="","",IF(T33&lt;&gt;"",T33,(D33+INDEX(INTERVALOS,COLUMN()-COLUMN($B$1)))+INDEX(DESPLAZAMIENTO,WEEKDAY(D33+INDEX(INTERVALOS,COLUMN()-COLUMN($B$1)),2))))</f>
        <v/>
      </c>
      <c r="F33" s="85">
        <f>IF($B33="","",IF(U33&lt;&gt;"",U33,(E33+INDEX(INTERVALOS,COLUMN()-COLUMN($B$1)))+INDEX(DESPLAZAMIENTO,WEEKDAY(E33+INDEX(INTERVALOS,COLUMN()-COLUMN($B$1)),2))))</f>
        <v/>
      </c>
      <c r="G33" s="85">
        <f>IF($B33="","",IF(V33&lt;&gt;"",V33,(F33+INDEX(INTERVALOS,COLUMN()-COLUMN($B$1)))+INDEX(DESPLAZAMIENTO,WEEKDAY(F33+INDEX(INTERVALOS,COLUMN()-COLUMN($B$1)),2))))</f>
        <v/>
      </c>
      <c r="H33" s="85">
        <f>IF($B33="","",IF(W33&lt;&gt;"",W33,(G33+INDEX(INTERVALOS,COLUMN()-COLUMN($B$1)))+INDEX(DESPLAZAMIENTO,WEEKDAY(G33+INDEX(INTERVALOS,COLUMN()-COLUMN($B$1)),2))))</f>
        <v/>
      </c>
      <c r="I33" s="85">
        <f>IF($B33="","",IF(X33&lt;&gt;"",X33,(H33+INDEX(INTERVALOS,COLUMN()-COLUMN($B$1)))+INDEX(DESPLAZAMIENTO,WEEKDAY(H33+INDEX(INTERVALOS,COLUMN()-COLUMN($B$1)),2))))</f>
        <v/>
      </c>
      <c r="J33" s="85">
        <f>IF($B33="","",IF(Y33&lt;&gt;"",Y33,(I33+INDEX(INTERVALOS,COLUMN()-COLUMN($B$1)))+INDEX(DESPLAZAMIENTO,WEEKDAY(I33+INDEX(INTERVALOS,COLUMN()-COLUMN($B$1)),2))))</f>
        <v/>
      </c>
      <c r="K33" s="85">
        <f>IF($B33="","",IF(Z33&lt;&gt;"",Z33,(J33+INDEX(INTERVALOS,COLUMN()-COLUMN($B$1)))+INDEX(DESPLAZAMIENTO,WEEKDAY(J33+INDEX(INTERVALOS,COLUMN()-COLUMN($B$1)),2))))</f>
        <v/>
      </c>
      <c r="AP33" s="26" t="n">
        <v>32</v>
      </c>
      <c r="AQ33" s="79">
        <f>IF($AN$3="","",$AN$3+(AP33-1)*DIAS_POR_SEMANA)</f>
        <v/>
      </c>
      <c r="AR33" s="79">
        <f>IF(AQ33="","",AQ33+DIAS_POR_SEMANA-1)</f>
        <v/>
      </c>
      <c r="AS33" s="26">
        <f>IF(AQ33="",0,SUMPRODUCT(($AB$2:$AK$41=ESTADO_EXITO)*($AZ$2:$BI$41&gt;=AQ33)*($AZ$2:$BI$41&lt;=AR33)))</f>
        <v/>
      </c>
      <c r="AT33" s="26">
        <f>IF(AQ33="",0,SUMPRODUCT(($AB$2:$AK$41=ESTADO_FALLO)*($AZ$2:$BI$41&gt;=AQ33)*($AZ$2:$BI$41&lt;=AR33)))</f>
        <v/>
      </c>
      <c r="AU33" s="28">
        <f>IF(AS33+AT33=0,"",AS33/(AS33+AT33))</f>
        <v/>
      </c>
      <c r="AV33" s="26">
        <f>AS33+AT33</f>
        <v/>
      </c>
      <c r="AW33" s="26">
        <f>SUM($AV$2:AV33)</f>
        <v/>
      </c>
      <c r="AX33" s="28">
        <f>IF(COUNTIFS(AU31:AU33,"&gt;=0")=0,"",SUM(AU31:AU33)/COUNTIFS(AU31:AU33,"&gt;=0"))</f>
        <v/>
      </c>
      <c r="AZ33" s="26">
        <f>IF(B33="",0,B33)</f>
        <v/>
      </c>
      <c r="BA33" s="26">
        <f>IF(C33="",0,C33)</f>
        <v/>
      </c>
      <c r="BB33" s="26">
        <f>IF(D33="",0,D33)</f>
        <v/>
      </c>
      <c r="BC33" s="26">
        <f>IF(E33="",0,E33)</f>
        <v/>
      </c>
      <c r="BD33" s="26">
        <f>IF(F33="",0,F33)</f>
        <v/>
      </c>
      <c r="BE33" s="26">
        <f>IF(G33="",0,G33)</f>
        <v/>
      </c>
      <c r="BF33" s="26">
        <f>IF(H33="",0,H33)</f>
        <v/>
      </c>
      <c r="BG33" s="26">
        <f>IF(I33="",0,I33)</f>
        <v/>
      </c>
      <c r="BH33" s="26">
        <f>IF(J33="",0,J33)</f>
        <v/>
      </c>
      <c r="BI33" s="26">
        <f>IF(K33="",0,K33)</f>
        <v/>
      </c>
    </row>
    <row r="34" ht="22.5" customHeight="1">
      <c r="A34" s="2" t="inlineStr">
        <is>
          <t>Tema 33</t>
        </is>
      </c>
      <c r="B34" s="78" t="n"/>
      <c r="C34" s="78">
        <f>IF($B34="","",IF(R34&lt;&gt;"",R34,(B34+INDEX(INTERVALOS,COLUMN()-COLUMN($B$1)))+INDEX(DESPLAZAMIENTO,WEEKDAY(B34+INDEX(INTERVALOS,COLUMN()-COLUMN($B$1)),2))))</f>
        <v/>
      </c>
      <c r="D34" s="78">
        <f>IF($B34="","",IF(S34&lt;&gt;"",S34,(C34+INDEX(INTERVALOS,COLUMN()-COLUMN($B$1)))+INDEX(DESPLAZAMIENTO,WEEKDAY(C34+INDEX(INTERVALOS,COLUMN()-COLUMN($B$1)),2))))</f>
        <v/>
      </c>
      <c r="E34" s="78">
        <f>IF($B34="","",IF(T34&lt;&gt;"",T34,(D34+INDEX(INTERVALOS,COLUMN()-COLUMN($B$1)))+INDEX(DESPLAZAMIENTO,WEEKDAY(D34+INDEX(INTERVALOS,COLUMN()-COLUMN($B$1)),2))))</f>
        <v/>
      </c>
      <c r="F34" s="78">
        <f>IF($B34="","",IF(U34&lt;&gt;"",U34,(E34+INDEX(INTERVALOS,COLUMN()-COLUMN($B$1)))+INDEX(DESPLAZAMIENTO,WEEKDAY(E34+INDEX(INTERVALOS,COLUMN()-COLUMN($B$1)),2))))</f>
        <v/>
      </c>
      <c r="G34" s="78">
        <f>IF($B34="","",IF(V34&lt;&gt;"",V34,(F34+INDEX(INTERVALOS,COLUMN()-COLUMN($B$1)))+INDEX(DESPLAZAMIENTO,WEEKDAY(F34+INDEX(INTERVALOS,COLUMN()-COLUMN($B$1)),2))))</f>
        <v/>
      </c>
      <c r="H34" s="78">
        <f>IF($B34="","",IF(W34&lt;&gt;"",W34,(G34+INDEX(INTERVALOS,COLUMN()-COLUMN($B$1)))+INDEX(DESPLAZAMIENTO,WEEKDAY(G34+INDEX(INTERVALOS,COLUMN()-COLUMN($B$1)),2))))</f>
        <v/>
      </c>
      <c r="I34" s="78">
        <f>IF($B34="","",IF(X34&lt;&gt;"",X34,(H34+INDEX(INTERVALOS,COLUMN()-COLUMN($B$1)))+INDEX(DESPLAZAMIENTO,WEEKDAY(H34+INDEX(INTERVALOS,COLUMN()-COLUMN($B$1)),2))))</f>
        <v/>
      </c>
      <c r="J34" s="78">
        <f>IF($B34="","",IF(Y34&lt;&gt;"",Y34,(I34+INDEX(INTERVALOS,COLUMN()-COLUMN($B$1)))+INDEX(DESPLAZAMIENTO,WEEKDAY(I34+INDEX(INTERVALOS,COLUMN()-COLUMN($B$1)),2))))</f>
        <v/>
      </c>
      <c r="K34" s="78">
        <f>IF($B34="","",IF(Z34&lt;&gt;"",Z34,(J34+INDEX(INTERVALOS,COLUMN()-COLUMN($B$1)))+INDEX(DESPLAZAMIENTO,WEEKDAY(J34+INDEX(INTERVALOS,COLUMN()-COLUMN($B$1)),2))))</f>
        <v/>
      </c>
      <c r="AP34" s="26" t="n">
        <v>33</v>
      </c>
      <c r="AQ34" s="79">
        <f>IF($AN$3="","",$AN$3+(AP34-1)*DIAS_POR_SEMANA)</f>
        <v/>
      </c>
      <c r="AR34" s="79">
        <f>IF(AQ34="","",AQ34+DIAS_POR_SEMANA-1)</f>
        <v/>
      </c>
      <c r="AS34" s="26">
        <f>IF(AQ34="",0,SUMPRODUCT(($AB$2:$AK$41=ESTADO_EXITO)*($AZ$2:$BI$41&gt;=AQ34)*($AZ$2:$BI$41&lt;=AR34)))</f>
        <v/>
      </c>
      <c r="AT34" s="26">
        <f>IF(AQ34="",0,SUMPRODUCT(($AB$2:$AK$41=ESTADO_FALLO)*($AZ$2:$BI$41&gt;=AQ34)*($AZ$2:$BI$41&lt;=AR34)))</f>
        <v/>
      </c>
      <c r="AU34" s="28">
        <f>IF(AS34+AT34=0,"",AS34/(AS34+AT34))</f>
        <v/>
      </c>
      <c r="AV34" s="26">
        <f>AS34+AT34</f>
        <v/>
      </c>
      <c r="AW34" s="26">
        <f>SUM($AV$2:AV34)</f>
        <v/>
      </c>
      <c r="AX34" s="28">
        <f>IF(COUNTIFS(AU32:AU34,"&gt;=0")=0,"",SUM(AU32:AU34)/COUNTIFS(AU32:AU34,"&gt;=0"))</f>
        <v/>
      </c>
      <c r="AZ34" s="26">
        <f>IF(B34="",0,B34)</f>
        <v/>
      </c>
      <c r="BA34" s="26">
        <f>IF(C34="",0,C34)</f>
        <v/>
      </c>
      <c r="BB34" s="26">
        <f>IF(D34="",0,D34)</f>
        <v/>
      </c>
      <c r="BC34" s="26">
        <f>IF(E34="",0,E34)</f>
        <v/>
      </c>
      <c r="BD34" s="26">
        <f>IF(F34="",0,F34)</f>
        <v/>
      </c>
      <c r="BE34" s="26">
        <f>IF(G34="",0,G34)</f>
        <v/>
      </c>
      <c r="BF34" s="26">
        <f>IF(H34="",0,H34)</f>
        <v/>
      </c>
      <c r="BG34" s="26">
        <f>IF(I34="",0,I34)</f>
        <v/>
      </c>
      <c r="BH34" s="26">
        <f>IF(J34="",0,J34)</f>
        <v/>
      </c>
      <c r="BI34" s="26">
        <f>IF(K34="",0,K34)</f>
        <v/>
      </c>
    </row>
    <row r="35" ht="22.5" customHeight="1">
      <c r="A35" s="4" t="inlineStr">
        <is>
          <t>Tema 34</t>
        </is>
      </c>
      <c r="B35" s="85" t="n"/>
      <c r="C35" s="85">
        <f>IF($B35="","",IF(R35&lt;&gt;"",R35,(B35+INDEX(INTERVALOS,COLUMN()-COLUMN($B$1)))+INDEX(DESPLAZAMIENTO,WEEKDAY(B35+INDEX(INTERVALOS,COLUMN()-COLUMN($B$1)),2))))</f>
        <v/>
      </c>
      <c r="D35" s="85">
        <f>IF($B35="","",IF(S35&lt;&gt;"",S35,(C35+INDEX(INTERVALOS,COLUMN()-COLUMN($B$1)))+INDEX(DESPLAZAMIENTO,WEEKDAY(C35+INDEX(INTERVALOS,COLUMN()-COLUMN($B$1)),2))))</f>
        <v/>
      </c>
      <c r="E35" s="85">
        <f>IF($B35="","",IF(T35&lt;&gt;"",T35,(D35+INDEX(INTERVALOS,COLUMN()-COLUMN($B$1)))+INDEX(DESPLAZAMIENTO,WEEKDAY(D35+INDEX(INTERVALOS,COLUMN()-COLUMN($B$1)),2))))</f>
        <v/>
      </c>
      <c r="F35" s="85">
        <f>IF($B35="","",IF(U35&lt;&gt;"",U35,(E35+INDEX(INTERVALOS,COLUMN()-COLUMN($B$1)))+INDEX(DESPLAZAMIENTO,WEEKDAY(E35+INDEX(INTERVALOS,COLUMN()-COLUMN($B$1)),2))))</f>
        <v/>
      </c>
      <c r="G35" s="85">
        <f>IF($B35="","",IF(V35&lt;&gt;"",V35,(F35+INDEX(INTERVALOS,COLUMN()-COLUMN($B$1)))+INDEX(DESPLAZAMIENTO,WEEKDAY(F35+INDEX(INTERVALOS,COLUMN()-COLUMN($B$1)),2))))</f>
        <v/>
      </c>
      <c r="H35" s="85">
        <f>IF($B35="","",IF(W35&lt;&gt;"",W35,(G35+INDEX(INTERVALOS,COLUMN()-COLUMN($B$1)))+INDEX(DESPLAZAMIENTO,WEEKDAY(G35+INDEX(INTERVALOS,COLUMN()-COLUMN($B$1)),2))))</f>
        <v/>
      </c>
      <c r="I35" s="85">
        <f>IF($B35="","",IF(X35&lt;&gt;"",X35,(H35+INDEX(INTERVALOS,COLUMN()-COLUMN($B$1)))+INDEX(DESPLAZAMIENTO,WEEKDAY(H35+INDEX(INTERVALOS,COLUMN()-COLUMN($B$1)),2))))</f>
        <v/>
      </c>
      <c r="J35" s="85">
        <f>IF($B35="","",IF(Y35&lt;&gt;"",Y35,(I35+INDEX(INTERVALOS,COLUMN()-COLUMN($B$1)))+INDEX(DESPLAZAMIENTO,WEEKDAY(I35+INDEX(INTERVALOS,COLUMN()-COLUMN($B$1)),2))))</f>
        <v/>
      </c>
      <c r="K35" s="85">
        <f>IF($B35="","",IF(Z35&lt;&gt;"",Z35,(J35+INDEX(INTERVALOS,COLUMN()-COLUMN($B$1)))+INDEX(DESPLAZAMIENTO,WEEKDAY(J35+INDEX(INTERVALOS,COLUMN()-COLUMN($B$1)),2))))</f>
        <v/>
      </c>
      <c r="AP35" s="26" t="n">
        <v>34</v>
      </c>
      <c r="AQ35" s="79">
        <f>IF($AN$3="","",$AN$3+(AP35-1)*DIAS_POR_SEMANA)</f>
        <v/>
      </c>
      <c r="AR35" s="79">
        <f>IF(AQ35="","",AQ35+DIAS_POR_SEMANA-1)</f>
        <v/>
      </c>
      <c r="AS35" s="26">
        <f>IF(AQ35="",0,SUMPRODUCT(($AB$2:$AK$41=ESTADO_EXITO)*($AZ$2:$BI$41&gt;=AQ35)*($AZ$2:$BI$41&lt;=AR35)))</f>
        <v/>
      </c>
      <c r="AT35" s="26">
        <f>IF(AQ35="",0,SUMPRODUCT(($AB$2:$AK$41=ESTADO_FALLO)*($AZ$2:$BI$41&gt;=AQ35)*($AZ$2:$BI$41&lt;=AR35)))</f>
        <v/>
      </c>
      <c r="AU35" s="28">
        <f>IF(AS35+AT35=0,"",AS35/(AS35+AT35))</f>
        <v/>
      </c>
      <c r="AV35" s="26">
        <f>AS35+AT35</f>
        <v/>
      </c>
      <c r="AW35" s="26">
        <f>SUM($AV$2:AV35)</f>
        <v/>
      </c>
      <c r="AX35" s="28">
        <f>IF(COUNTIFS(AU33:AU35,"&gt;=0")=0,"",SUM(AU33:AU35)/COUNTIFS(AU33:AU35,"&gt;=0"))</f>
        <v/>
      </c>
      <c r="AZ35" s="26">
        <f>IF(B35="",0,B35)</f>
        <v/>
      </c>
      <c r="BA35" s="26">
        <f>IF(C35="",0,C35)</f>
        <v/>
      </c>
      <c r="BB35" s="26">
        <f>IF(D35="",0,D35)</f>
        <v/>
      </c>
      <c r="BC35" s="26">
        <f>IF(E35="",0,E35)</f>
        <v/>
      </c>
      <c r="BD35" s="26">
        <f>IF(F35="",0,F35)</f>
        <v/>
      </c>
      <c r="BE35" s="26">
        <f>IF(G35="",0,G35)</f>
        <v/>
      </c>
      <c r="BF35" s="26">
        <f>IF(H35="",0,H35)</f>
        <v/>
      </c>
      <c r="BG35" s="26">
        <f>IF(I35="",0,I35)</f>
        <v/>
      </c>
      <c r="BH35" s="26">
        <f>IF(J35="",0,J35)</f>
        <v/>
      </c>
      <c r="BI35" s="26">
        <f>IF(K35="",0,K35)</f>
        <v/>
      </c>
    </row>
    <row r="36" ht="22.5" customHeight="1">
      <c r="A36" s="2" t="inlineStr">
        <is>
          <t>Tema 35</t>
        </is>
      </c>
      <c r="B36" s="78" t="n"/>
      <c r="C36" s="78">
        <f>IF($B36="","",IF(R36&lt;&gt;"",R36,(B36+INDEX(INTERVALOS,COLUMN()-COLUMN($B$1)))+INDEX(DESPLAZAMIENTO,WEEKDAY(B36+INDEX(INTERVALOS,COLUMN()-COLUMN($B$1)),2))))</f>
        <v/>
      </c>
      <c r="D36" s="78">
        <f>IF($B36="","",IF(S36&lt;&gt;"",S36,(C36+INDEX(INTERVALOS,COLUMN()-COLUMN($B$1)))+INDEX(DESPLAZAMIENTO,WEEKDAY(C36+INDEX(INTERVALOS,COLUMN()-COLUMN($B$1)),2))))</f>
        <v/>
      </c>
      <c r="E36" s="78">
        <f>IF($B36="","",IF(T36&lt;&gt;"",T36,(D36+INDEX(INTERVALOS,COLUMN()-COLUMN($B$1)))+INDEX(DESPLAZAMIENTO,WEEKDAY(D36+INDEX(INTERVALOS,COLUMN()-COLUMN($B$1)),2))))</f>
        <v/>
      </c>
      <c r="F36" s="78">
        <f>IF($B36="","",IF(U36&lt;&gt;"",U36,(E36+INDEX(INTERVALOS,COLUMN()-COLUMN($B$1)))+INDEX(DESPLAZAMIENTO,WEEKDAY(E36+INDEX(INTERVALOS,COLUMN()-COLUMN($B$1)),2))))</f>
        <v/>
      </c>
      <c r="G36" s="78">
        <f>IF($B36="","",IF(V36&lt;&gt;"",V36,(F36+INDEX(INTERVALOS,COLUMN()-COLUMN($B$1)))+INDEX(DESPLAZAMIENTO,WEEKDAY(F36+INDEX(INTERVALOS,COLUMN()-COLUMN($B$1)),2))))</f>
        <v/>
      </c>
      <c r="H36" s="78">
        <f>IF($B36="","",IF(W36&lt;&gt;"",W36,(G36+INDEX(INTERVALOS,COLUMN()-COLUMN($B$1)))+INDEX(DESPLAZAMIENTO,WEEKDAY(G36+INDEX(INTERVALOS,COLUMN()-COLUMN($B$1)),2))))</f>
        <v/>
      </c>
      <c r="I36" s="78">
        <f>IF($B36="","",IF(X36&lt;&gt;"",X36,(H36+INDEX(INTERVALOS,COLUMN()-COLUMN($B$1)))+INDEX(DESPLAZAMIENTO,WEEKDAY(H36+INDEX(INTERVALOS,COLUMN()-COLUMN($B$1)),2))))</f>
        <v/>
      </c>
      <c r="J36" s="78">
        <f>IF($B36="","",IF(Y36&lt;&gt;"",Y36,(I36+INDEX(INTERVALOS,COLUMN()-COLUMN($B$1)))+INDEX(DESPLAZAMIENTO,WEEKDAY(I36+INDEX(INTERVALOS,COLUMN()-COLUMN($B$1)),2))))</f>
        <v/>
      </c>
      <c r="K36" s="78">
        <f>IF($B36="","",IF(Z36&lt;&gt;"",Z36,(J36+INDEX(INTERVALOS,COLUMN()-COLUMN($B$1)))+INDEX(DESPLAZAMIENTO,WEEKDAY(J36+INDEX(INTERVALOS,COLUMN()-COLUMN($B$1)),2))))</f>
        <v/>
      </c>
      <c r="AZ36" s="26">
        <f>IF(B36="",0,B36)</f>
        <v/>
      </c>
      <c r="BA36" s="26">
        <f>IF(C36="",0,C36)</f>
        <v/>
      </c>
      <c r="BB36" s="26">
        <f>IF(D36="",0,D36)</f>
        <v/>
      </c>
      <c r="BC36" s="26">
        <f>IF(E36="",0,E36)</f>
        <v/>
      </c>
      <c r="BD36" s="26">
        <f>IF(F36="",0,F36)</f>
        <v/>
      </c>
      <c r="BE36" s="26">
        <f>IF(G36="",0,G36)</f>
        <v/>
      </c>
      <c r="BF36" s="26">
        <f>IF(H36="",0,H36)</f>
        <v/>
      </c>
      <c r="BG36" s="26">
        <f>IF(I36="",0,I36)</f>
        <v/>
      </c>
      <c r="BH36" s="26">
        <f>IF(J36="",0,J36)</f>
        <v/>
      </c>
      <c r="BI36" s="26">
        <f>IF(K36="",0,K36)</f>
        <v/>
      </c>
    </row>
    <row r="37" ht="22.5" customHeight="1">
      <c r="A37" s="4" t="inlineStr">
        <is>
          <t>Tema 36</t>
        </is>
      </c>
      <c r="B37" s="85" t="n"/>
      <c r="C37" s="85">
        <f>IF($B37="","",IF(R37&lt;&gt;"",R37,(B37+INDEX(INTERVALOS,COLUMN()-COLUMN($B$1)))+INDEX(DESPLAZAMIENTO,WEEKDAY(B37+INDEX(INTERVALOS,COLUMN()-COLUMN($B$1)),2))))</f>
        <v/>
      </c>
      <c r="D37" s="85">
        <f>IF($B37="","",IF(S37&lt;&gt;"",S37,(C37+INDEX(INTERVALOS,COLUMN()-COLUMN($B$1)))+INDEX(DESPLAZAMIENTO,WEEKDAY(C37+INDEX(INTERVALOS,COLUMN()-COLUMN($B$1)),2))))</f>
        <v/>
      </c>
      <c r="E37" s="85">
        <f>IF($B37="","",IF(T37&lt;&gt;"",T37,(D37+INDEX(INTERVALOS,COLUMN()-COLUMN($B$1)))+INDEX(DESPLAZAMIENTO,WEEKDAY(D37+INDEX(INTERVALOS,COLUMN()-COLUMN($B$1)),2))))</f>
        <v/>
      </c>
      <c r="F37" s="85">
        <f>IF($B37="","",IF(U37&lt;&gt;"",U37,(E37+INDEX(INTERVALOS,COLUMN()-COLUMN($B$1)))+INDEX(DESPLAZAMIENTO,WEEKDAY(E37+INDEX(INTERVALOS,COLUMN()-COLUMN($B$1)),2))))</f>
        <v/>
      </c>
      <c r="G37" s="85">
        <f>IF($B37="","",IF(V37&lt;&gt;"",V37,(F37+INDEX(INTERVALOS,COLUMN()-COLUMN($B$1)))+INDEX(DESPLAZAMIENTO,WEEKDAY(F37+INDEX(INTERVALOS,COLUMN()-COLUMN($B$1)),2))))</f>
        <v/>
      </c>
      <c r="H37" s="85">
        <f>IF($B37="","",IF(W37&lt;&gt;"",W37,(G37+INDEX(INTERVALOS,COLUMN()-COLUMN($B$1)))+INDEX(DESPLAZAMIENTO,WEEKDAY(G37+INDEX(INTERVALOS,COLUMN()-COLUMN($B$1)),2))))</f>
        <v/>
      </c>
      <c r="I37" s="85">
        <f>IF($B37="","",IF(X37&lt;&gt;"",X37,(H37+INDEX(INTERVALOS,COLUMN()-COLUMN($B$1)))+INDEX(DESPLAZAMIENTO,WEEKDAY(H37+INDEX(INTERVALOS,COLUMN()-COLUMN($B$1)),2))))</f>
        <v/>
      </c>
      <c r="J37" s="85">
        <f>IF($B37="","",IF(Y37&lt;&gt;"",Y37,(I37+INDEX(INTERVALOS,COLUMN()-COLUMN($B$1)))+INDEX(DESPLAZAMIENTO,WEEKDAY(I37+INDEX(INTERVALOS,COLUMN()-COLUMN($B$1)),2))))</f>
        <v/>
      </c>
      <c r="K37" s="85">
        <f>IF($B37="","",IF(Z37&lt;&gt;"",Z37,(J37+INDEX(INTERVALOS,COLUMN()-COLUMN($B$1)))+INDEX(DESPLAZAMIENTO,WEEKDAY(J37+INDEX(INTERVALOS,COLUMN()-COLUMN($B$1)),2))))</f>
        <v/>
      </c>
      <c r="AZ37" s="26">
        <f>IF(B37="",0,B37)</f>
        <v/>
      </c>
      <c r="BA37" s="26">
        <f>IF(C37="",0,C37)</f>
        <v/>
      </c>
      <c r="BB37" s="26">
        <f>IF(D37="",0,D37)</f>
        <v/>
      </c>
      <c r="BC37" s="26">
        <f>IF(E37="",0,E37)</f>
        <v/>
      </c>
      <c r="BD37" s="26">
        <f>IF(F37="",0,F37)</f>
        <v/>
      </c>
      <c r="BE37" s="26">
        <f>IF(G37="",0,G37)</f>
        <v/>
      </c>
      <c r="BF37" s="26">
        <f>IF(H37="",0,H37)</f>
        <v/>
      </c>
      <c r="BG37" s="26">
        <f>IF(I37="",0,I37)</f>
        <v/>
      </c>
      <c r="BH37" s="26">
        <f>IF(J37="",0,J37)</f>
        <v/>
      </c>
      <c r="BI37" s="26">
        <f>IF(K37="",0,K37)</f>
        <v/>
      </c>
    </row>
    <row r="38" ht="22.5" customHeight="1">
      <c r="A38" s="2" t="inlineStr">
        <is>
          <t>Tema 37</t>
        </is>
      </c>
      <c r="B38" s="78" t="n"/>
      <c r="C38" s="78">
        <f>IF($B38="","",IF(R38&lt;&gt;"",R38,(B38+INDEX(INTERVALOS,COLUMN()-COLUMN($B$1)))+INDEX(DESPLAZAMIENTO,WEEKDAY(B38+INDEX(INTERVALOS,COLUMN()-COLUMN($B$1)),2))))</f>
        <v/>
      </c>
      <c r="D38" s="78">
        <f>IF($B38="","",IF(S38&lt;&gt;"",S38,(C38+INDEX(INTERVALOS,COLUMN()-COLUMN($B$1)))+INDEX(DESPLAZAMIENTO,WEEKDAY(C38+INDEX(INTERVALOS,COLUMN()-COLUMN($B$1)),2))))</f>
        <v/>
      </c>
      <c r="E38" s="78">
        <f>IF($B38="","",IF(T38&lt;&gt;"",T38,(D38+INDEX(INTERVALOS,COLUMN()-COLUMN($B$1)))+INDEX(DESPLAZAMIENTO,WEEKDAY(D38+INDEX(INTERVALOS,COLUMN()-COLUMN($B$1)),2))))</f>
        <v/>
      </c>
      <c r="F38" s="78">
        <f>IF($B38="","",IF(U38&lt;&gt;"",U38,(E38+INDEX(INTERVALOS,COLUMN()-COLUMN($B$1)))+INDEX(DESPLAZAMIENTO,WEEKDAY(E38+INDEX(INTERVALOS,COLUMN()-COLUMN($B$1)),2))))</f>
        <v/>
      </c>
      <c r="G38" s="78">
        <f>IF($B38="","",IF(V38&lt;&gt;"",V38,(F38+INDEX(INTERVALOS,COLUMN()-COLUMN($B$1)))+INDEX(DESPLAZAMIENTO,WEEKDAY(F38+INDEX(INTERVALOS,COLUMN()-COLUMN($B$1)),2))))</f>
        <v/>
      </c>
      <c r="H38" s="78">
        <f>IF($B38="","",IF(W38&lt;&gt;"",W38,(G38+INDEX(INTERVALOS,COLUMN()-COLUMN($B$1)))+INDEX(DESPLAZAMIENTO,WEEKDAY(G38+INDEX(INTERVALOS,COLUMN()-COLUMN($B$1)),2))))</f>
        <v/>
      </c>
      <c r="I38" s="78">
        <f>IF($B38="","",IF(X38&lt;&gt;"",X38,(H38+INDEX(INTERVALOS,COLUMN()-COLUMN($B$1)))+INDEX(DESPLAZAMIENTO,WEEKDAY(H38+INDEX(INTERVALOS,COLUMN()-COLUMN($B$1)),2))))</f>
        <v/>
      </c>
      <c r="J38" s="78">
        <f>IF($B38="","",IF(Y38&lt;&gt;"",Y38,(I38+INDEX(INTERVALOS,COLUMN()-COLUMN($B$1)))+INDEX(DESPLAZAMIENTO,WEEKDAY(I38+INDEX(INTERVALOS,COLUMN()-COLUMN($B$1)),2))))</f>
        <v/>
      </c>
      <c r="K38" s="78">
        <f>IF($B38="","",IF(Z38&lt;&gt;"",Z38,(J38+INDEX(INTERVALOS,COLUMN()-COLUMN($B$1)))+INDEX(DESPLAZAMIENTO,WEEKDAY(J38+INDEX(INTERVALOS,COLUMN()-COLUMN($B$1)),2))))</f>
        <v/>
      </c>
      <c r="AZ38" s="26">
        <f>IF(B38="",0,B38)</f>
        <v/>
      </c>
      <c r="BA38" s="26">
        <f>IF(C38="",0,C38)</f>
        <v/>
      </c>
      <c r="BB38" s="26">
        <f>IF(D38="",0,D38)</f>
        <v/>
      </c>
      <c r="BC38" s="26">
        <f>IF(E38="",0,E38)</f>
        <v/>
      </c>
      <c r="BD38" s="26">
        <f>IF(F38="",0,F38)</f>
        <v/>
      </c>
      <c r="BE38" s="26">
        <f>IF(G38="",0,G38)</f>
        <v/>
      </c>
      <c r="BF38" s="26">
        <f>IF(H38="",0,H38)</f>
        <v/>
      </c>
      <c r="BG38" s="26">
        <f>IF(I38="",0,I38)</f>
        <v/>
      </c>
      <c r="BH38" s="26">
        <f>IF(J38="",0,J38)</f>
        <v/>
      </c>
      <c r="BI38" s="26">
        <f>IF(K38="",0,K38)</f>
        <v/>
      </c>
    </row>
    <row r="39" ht="22.5" customHeight="1">
      <c r="A39" s="4" t="inlineStr">
        <is>
          <t>Tema 38</t>
        </is>
      </c>
      <c r="B39" s="85" t="n"/>
      <c r="C39" s="85">
        <f>IF($B39="","",IF(R39&lt;&gt;"",R39,(B39+INDEX(INTERVALOS,COLUMN()-COLUMN($B$1)))+INDEX(DESPLAZAMIENTO,WEEKDAY(B39+INDEX(INTERVALOS,COLUMN()-COLUMN($B$1)),2))))</f>
        <v/>
      </c>
      <c r="D39" s="85">
        <f>IF($B39="","",IF(S39&lt;&gt;"",S39,(C39+INDEX(INTERVALOS,COLUMN()-COLUMN($B$1)))+INDEX(DESPLAZAMIENTO,WEEKDAY(C39+INDEX(INTERVALOS,COLUMN()-COLUMN($B$1)),2))))</f>
        <v/>
      </c>
      <c r="E39" s="85">
        <f>IF($B39="","",IF(T39&lt;&gt;"",T39,(D39+INDEX(INTERVALOS,COLUMN()-COLUMN($B$1)))+INDEX(DESPLAZAMIENTO,WEEKDAY(D39+INDEX(INTERVALOS,COLUMN()-COLUMN($B$1)),2))))</f>
        <v/>
      </c>
      <c r="F39" s="85">
        <f>IF($B39="","",IF(U39&lt;&gt;"",U39,(E39+INDEX(INTERVALOS,COLUMN()-COLUMN($B$1)))+INDEX(DESPLAZAMIENTO,WEEKDAY(E39+INDEX(INTERVALOS,COLUMN()-COLUMN($B$1)),2))))</f>
        <v/>
      </c>
      <c r="G39" s="85">
        <f>IF($B39="","",IF(V39&lt;&gt;"",V39,(F39+INDEX(INTERVALOS,COLUMN()-COLUMN($B$1)))+INDEX(DESPLAZAMIENTO,WEEKDAY(F39+INDEX(INTERVALOS,COLUMN()-COLUMN($B$1)),2))))</f>
        <v/>
      </c>
      <c r="H39" s="85">
        <f>IF($B39="","",IF(W39&lt;&gt;"",W39,(G39+INDEX(INTERVALOS,COLUMN()-COLUMN($B$1)))+INDEX(DESPLAZAMIENTO,WEEKDAY(G39+INDEX(INTERVALOS,COLUMN()-COLUMN($B$1)),2))))</f>
        <v/>
      </c>
      <c r="I39" s="85">
        <f>IF($B39="","",IF(X39&lt;&gt;"",X39,(H39+INDEX(INTERVALOS,COLUMN()-COLUMN($B$1)))+INDEX(DESPLAZAMIENTO,WEEKDAY(H39+INDEX(INTERVALOS,COLUMN()-COLUMN($B$1)),2))))</f>
        <v/>
      </c>
      <c r="J39" s="85">
        <f>IF($B39="","",IF(Y39&lt;&gt;"",Y39,(I39+INDEX(INTERVALOS,COLUMN()-COLUMN($B$1)))+INDEX(DESPLAZAMIENTO,WEEKDAY(I39+INDEX(INTERVALOS,COLUMN()-COLUMN($B$1)),2))))</f>
        <v/>
      </c>
      <c r="K39" s="85">
        <f>IF($B39="","",IF(Z39&lt;&gt;"",Z39,(J39+INDEX(INTERVALOS,COLUMN()-COLUMN($B$1)))+INDEX(DESPLAZAMIENTO,WEEKDAY(J39+INDEX(INTERVALOS,COLUMN()-COLUMN($B$1)),2))))</f>
        <v/>
      </c>
      <c r="AZ39" s="26">
        <f>IF(B39="",0,B39)</f>
        <v/>
      </c>
      <c r="BA39" s="26">
        <f>IF(C39="",0,C39)</f>
        <v/>
      </c>
      <c r="BB39" s="26">
        <f>IF(D39="",0,D39)</f>
        <v/>
      </c>
      <c r="BC39" s="26">
        <f>IF(E39="",0,E39)</f>
        <v/>
      </c>
      <c r="BD39" s="26">
        <f>IF(F39="",0,F39)</f>
        <v/>
      </c>
      <c r="BE39" s="26">
        <f>IF(G39="",0,G39)</f>
        <v/>
      </c>
      <c r="BF39" s="26">
        <f>IF(H39="",0,H39)</f>
        <v/>
      </c>
      <c r="BG39" s="26">
        <f>IF(I39="",0,I39)</f>
        <v/>
      </c>
      <c r="BH39" s="26">
        <f>IF(J39="",0,J39)</f>
        <v/>
      </c>
      <c r="BI39" s="26">
        <f>IF(K39="",0,K39)</f>
        <v/>
      </c>
    </row>
    <row r="40" ht="22.5" customHeight="1">
      <c r="A40" s="2" t="inlineStr">
        <is>
          <t>Tema 39</t>
        </is>
      </c>
      <c r="B40" s="78" t="n"/>
      <c r="C40" s="78">
        <f>IF($B40="","",IF(R40&lt;&gt;"",R40,(B40+INDEX(INTERVALOS,COLUMN()-COLUMN($B$1)))+INDEX(DESPLAZAMIENTO,WEEKDAY(B40+INDEX(INTERVALOS,COLUMN()-COLUMN($B$1)),2))))</f>
        <v/>
      </c>
      <c r="D40" s="78">
        <f>IF($B40="","",IF(S40&lt;&gt;"",S40,(C40+INDEX(INTERVALOS,COLUMN()-COLUMN($B$1)))+INDEX(DESPLAZAMIENTO,WEEKDAY(C40+INDEX(INTERVALOS,COLUMN()-COLUMN($B$1)),2))))</f>
        <v/>
      </c>
      <c r="E40" s="78">
        <f>IF($B40="","",IF(T40&lt;&gt;"",T40,(D40+INDEX(INTERVALOS,COLUMN()-COLUMN($B$1)))+INDEX(DESPLAZAMIENTO,WEEKDAY(D40+INDEX(INTERVALOS,COLUMN()-COLUMN($B$1)),2))))</f>
        <v/>
      </c>
      <c r="F40" s="78">
        <f>IF($B40="","",IF(U40&lt;&gt;"",U40,(E40+INDEX(INTERVALOS,COLUMN()-COLUMN($B$1)))+INDEX(DESPLAZAMIENTO,WEEKDAY(E40+INDEX(INTERVALOS,COLUMN()-COLUMN($B$1)),2))))</f>
        <v/>
      </c>
      <c r="G40" s="78">
        <f>IF($B40="","",IF(V40&lt;&gt;"",V40,(F40+INDEX(INTERVALOS,COLUMN()-COLUMN($B$1)))+INDEX(DESPLAZAMIENTO,WEEKDAY(F40+INDEX(INTERVALOS,COLUMN()-COLUMN($B$1)),2))))</f>
        <v/>
      </c>
      <c r="H40" s="78">
        <f>IF($B40="","",IF(W40&lt;&gt;"",W40,(G40+INDEX(INTERVALOS,COLUMN()-COLUMN($B$1)))+INDEX(DESPLAZAMIENTO,WEEKDAY(G40+INDEX(INTERVALOS,COLUMN()-COLUMN($B$1)),2))))</f>
        <v/>
      </c>
      <c r="I40" s="78">
        <f>IF($B40="","",IF(X40&lt;&gt;"",X40,(H40+INDEX(INTERVALOS,COLUMN()-COLUMN($B$1)))+INDEX(DESPLAZAMIENTO,WEEKDAY(H40+INDEX(INTERVALOS,COLUMN()-COLUMN($B$1)),2))))</f>
        <v/>
      </c>
      <c r="J40" s="78">
        <f>IF($B40="","",IF(Y40&lt;&gt;"",Y40,(I40+INDEX(INTERVALOS,COLUMN()-COLUMN($B$1)))+INDEX(DESPLAZAMIENTO,WEEKDAY(I40+INDEX(INTERVALOS,COLUMN()-COLUMN($B$1)),2))))</f>
        <v/>
      </c>
      <c r="K40" s="78">
        <f>IF($B40="","",IF(Z40&lt;&gt;"",Z40,(J40+INDEX(INTERVALOS,COLUMN()-COLUMN($B$1)))+INDEX(DESPLAZAMIENTO,WEEKDAY(J40+INDEX(INTERVALOS,COLUMN()-COLUMN($B$1)),2))))</f>
        <v/>
      </c>
      <c r="AZ40" s="26">
        <f>IF(B40="",0,B40)</f>
        <v/>
      </c>
      <c r="BA40" s="26">
        <f>IF(C40="",0,C40)</f>
        <v/>
      </c>
      <c r="BB40" s="26">
        <f>IF(D40="",0,D40)</f>
        <v/>
      </c>
      <c r="BC40" s="26">
        <f>IF(E40="",0,E40)</f>
        <v/>
      </c>
      <c r="BD40" s="26">
        <f>IF(F40="",0,F40)</f>
        <v/>
      </c>
      <c r="BE40" s="26">
        <f>IF(G40="",0,G40)</f>
        <v/>
      </c>
      <c r="BF40" s="26">
        <f>IF(H40="",0,H40)</f>
        <v/>
      </c>
      <c r="BG40" s="26">
        <f>IF(I40="",0,I40)</f>
        <v/>
      </c>
      <c r="BH40" s="26">
        <f>IF(J40="",0,J40)</f>
        <v/>
      </c>
      <c r="BI40" s="26">
        <f>IF(K40="",0,K40)</f>
        <v/>
      </c>
    </row>
    <row r="41" ht="22.5" customHeight="1">
      <c r="A41" s="4" t="inlineStr">
        <is>
          <t>Tema 40</t>
        </is>
      </c>
      <c r="B41" s="85" t="n"/>
      <c r="C41" s="85">
        <f>IF($B41="","",IF(R41&lt;&gt;"",R41,(B41+INDEX(INTERVALOS,COLUMN()-COLUMN($B$1)))+INDEX(DESPLAZAMIENTO,WEEKDAY(B41+INDEX(INTERVALOS,COLUMN()-COLUMN($B$1)),2))))</f>
        <v/>
      </c>
      <c r="D41" s="85">
        <f>IF($B41="","",IF(S41&lt;&gt;"",S41,(C41+INDEX(INTERVALOS,COLUMN()-COLUMN($B$1)))+INDEX(DESPLAZAMIENTO,WEEKDAY(C41+INDEX(INTERVALOS,COLUMN()-COLUMN($B$1)),2))))</f>
        <v/>
      </c>
      <c r="E41" s="85">
        <f>IF($B41="","",IF(T41&lt;&gt;"",T41,(D41+INDEX(INTERVALOS,COLUMN()-COLUMN($B$1)))+INDEX(DESPLAZAMIENTO,WEEKDAY(D41+INDEX(INTERVALOS,COLUMN()-COLUMN($B$1)),2))))</f>
        <v/>
      </c>
      <c r="F41" s="85">
        <f>IF($B41="","",IF(U41&lt;&gt;"",U41,(E41+INDEX(INTERVALOS,COLUMN()-COLUMN($B$1)))+INDEX(DESPLAZAMIENTO,WEEKDAY(E41+INDEX(INTERVALOS,COLUMN()-COLUMN($B$1)),2))))</f>
        <v/>
      </c>
      <c r="G41" s="85">
        <f>IF($B41="","",IF(V41&lt;&gt;"",V41,(F41+INDEX(INTERVALOS,COLUMN()-COLUMN($B$1)))+INDEX(DESPLAZAMIENTO,WEEKDAY(F41+INDEX(INTERVALOS,COLUMN()-COLUMN($B$1)),2))))</f>
        <v/>
      </c>
      <c r="H41" s="85">
        <f>IF($B41="","",IF(W41&lt;&gt;"",W41,(G41+INDEX(INTERVALOS,COLUMN()-COLUMN($B$1)))+INDEX(DESPLAZAMIENTO,WEEKDAY(G41+INDEX(INTERVALOS,COLUMN()-COLUMN($B$1)),2))))</f>
        <v/>
      </c>
      <c r="I41" s="85">
        <f>IF($B41="","",IF(X41&lt;&gt;"",X41,(H41+INDEX(INTERVALOS,COLUMN()-COLUMN($B$1)))+INDEX(DESPLAZAMIENTO,WEEKDAY(H41+INDEX(INTERVALOS,COLUMN()-COLUMN($B$1)),2))))</f>
        <v/>
      </c>
      <c r="J41" s="85">
        <f>IF($B41="","",IF(Y41&lt;&gt;"",Y41,(I41+INDEX(INTERVALOS,COLUMN()-COLUMN($B$1)))+INDEX(DESPLAZAMIENTO,WEEKDAY(I41+INDEX(INTERVALOS,COLUMN()-COLUMN($B$1)),2))))</f>
        <v/>
      </c>
      <c r="K41" s="85">
        <f>IF($B41="","",IF(Z41&lt;&gt;"",Z41,(J41+INDEX(INTERVALOS,COLUMN()-COLUMN($B$1)))+INDEX(DESPLAZAMIENTO,WEEKDAY(J41+INDEX(INTERVALOS,COLUMN()-COLUMN($B$1)),2))))</f>
        <v/>
      </c>
      <c r="AZ41" s="26">
        <f>IF(B41="",0,B41)</f>
        <v/>
      </c>
      <c r="BA41" s="26">
        <f>IF(C41="",0,C41)</f>
        <v/>
      </c>
      <c r="BB41" s="26">
        <f>IF(D41="",0,D41)</f>
        <v/>
      </c>
      <c r="BC41" s="26">
        <f>IF(E41="",0,E41)</f>
        <v/>
      </c>
      <c r="BD41" s="26">
        <f>IF(F41="",0,F41)</f>
        <v/>
      </c>
      <c r="BE41" s="26">
        <f>IF(G41="",0,G41)</f>
        <v/>
      </c>
      <c r="BF41" s="26">
        <f>IF(H41="",0,H41)</f>
        <v/>
      </c>
      <c r="BG41" s="26">
        <f>IF(I41="",0,I41)</f>
        <v/>
      </c>
      <c r="BH41" s="26">
        <f>IF(J41="",0,J41)</f>
        <v/>
      </c>
      <c r="BI41" s="26">
        <f>IF(K41="",0,K41)</f>
        <v/>
      </c>
    </row>
    <row r="43" ht="22.5" customHeight="1">
      <c r="A43" s="6" t="inlineStr">
        <is>
          <t>Tasa de éxito global</t>
        </is>
      </c>
      <c r="B43" s="59" t="n"/>
      <c r="C43" s="6" t="inlineStr">
        <is>
          <t>Racha actual</t>
        </is>
      </c>
      <c r="D43" s="59" t="n"/>
      <c r="E43" s="6" t="inlineStr">
        <is>
          <t>Sesiones vencidas</t>
        </is>
      </c>
      <c r="F43" s="59" t="n"/>
    </row>
    <row r="44" ht="22.5" customHeight="1">
      <c r="A44" s="60">
        <f>IF(COUNTIF($AB$2:$AK$41,ESTADO_EXITO)+COUNTIF($AB$2:$AK$41,ESTADO_FALLO)=0,"",COUNTIF($AB$2:$AK$41,ESTADO_EXITO)/(COUNTIF($AB$2:$AK$41,ESTADO_EXITO)+COUNTIF($AB$2:$AK$41,ESTADO_FALLO)))</f>
        <v/>
      </c>
      <c r="B44" s="61" t="n"/>
      <c r="C44" s="62">
        <f>SUMPRODUCT(($AB$2:$AK$41=ESTADO_EXITO)*($AZ$2:$BI$41&gt;SUMPRODUCT(MAX(($AB$2:$AK$41=ESTADO_FALLO)*$AZ$2:$BI$41))))</f>
        <v/>
      </c>
      <c r="D44" s="61" t="n"/>
      <c r="E44" s="63">
        <f>SUMPRODUCT(($AZ$2:$BI$41&gt;0)*($AZ$2:$BI$41&lt;HOY)*($AB$2:$AK$41=""))</f>
        <v/>
      </c>
      <c r="F44" s="61" t="n"/>
    </row>
  </sheetData>
  <conditionalFormatting sqref="A44">
    <cfRule type="cellIs" priority="1" operator="greaterThanOrEqual" dxfId="0">
      <formula>0.8</formula>
    </cfRule>
    <cfRule type="cellIs" priority="2" operator="between" dxfId="1">
      <formula>0.6</formula>
      <formula>0.7999999</formula>
    </cfRule>
    <cfRule type="cellIs" priority="3" operator="lessThan" dxfId="2">
      <formula>0.6</formula>
    </cfRule>
  </conditionalFormatting>
  <conditionalFormatting sqref="E44">
    <cfRule type="cellIs" priority="4" operator="greaterThan" dxfId="2">
      <formula>0</formula>
    </cfRule>
  </conditionalFormatting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.7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3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  <col hidden="1" width="13" customWidth="1" min="22" max="22"/>
  </cols>
  <sheetData>
    <row r="1" ht="22.5" customHeight="1">
      <c r="A1" s="1" t="inlineStr">
        <is>
          <t>Semáforo de hoy</t>
        </is>
      </c>
      <c r="B1" s="1" t="n"/>
      <c r="G1" s="1" t="inlineStr">
        <is>
          <t>Rejilla mensual</t>
        </is>
      </c>
      <c r="H1" s="1" t="n"/>
      <c r="I1" s="1" t="n"/>
      <c r="J1" s="1" t="n"/>
      <c r="K1" s="1" t="n"/>
      <c r="L1" s="1" t="n"/>
      <c r="M1" s="1" t="n"/>
      <c r="P1" s="17" t="inlineStr">
        <is>
          <t>Tema</t>
        </is>
      </c>
      <c r="Q1" s="17" t="inlineStr">
        <is>
          <t>Sesión</t>
        </is>
      </c>
      <c r="R1" s="17" t="inlineStr">
        <is>
          <t>Fecha</t>
        </is>
      </c>
      <c r="S1" s="17" t="inlineStr">
        <is>
          <t>Estado marcado</t>
        </is>
      </c>
      <c r="T1" s="17" t="inlineStr">
        <is>
          <t>Orden cronológico</t>
        </is>
      </c>
    </row>
    <row r="2" ht="22.5" customHeight="1">
      <c r="A2" s="7" t="inlineStr">
        <is>
          <t>Hoy</t>
        </is>
      </c>
      <c r="B2" s="105">
        <f>TODAY()</f>
        <v/>
      </c>
      <c r="G2" s="106">
        <f>DATE(YEAR(HOY),MONTH(HOY),1)</f>
        <v/>
      </c>
      <c r="H2" s="59" t="n"/>
      <c r="I2" s="59" t="n"/>
      <c r="J2" s="59" t="n"/>
      <c r="K2" s="59" t="n"/>
      <c r="L2" s="59" t="n"/>
      <c r="M2" s="59" t="n"/>
      <c r="P2" s="26" t="n">
        <v>1</v>
      </c>
      <c r="Q2" s="26" t="n">
        <v>1</v>
      </c>
      <c r="R2" s="26">
        <f>INDEX(Progreso!$AZ$2:$BI$41,$P2,$Q2)</f>
        <v/>
      </c>
      <c r="S2" s="18">
        <f>IF(INDEX(Progreso!$AB$2:$AK$41,$P2,$Q2)=0,"",INDEX(Progreso!$AB$2:$AK$41,$P2,$Q2))</f>
        <v/>
      </c>
      <c r="T2" s="26">
        <f>IF($R2=0,"",COUNTIFS($R$2:$R$401,"&gt;0",$R$2:$R$401,"&lt;"&amp;$R2)+COUNTIFS($R$2:R2,"="&amp;$R2))</f>
        <v/>
      </c>
    </row>
    <row r="3" ht="22.5" customHeight="1">
      <c r="A3" s="7" t="inlineStr">
        <is>
          <t>Sesiones para hoy</t>
        </is>
      </c>
      <c r="B3" s="66">
        <f>COUNTIF(Progreso!$B$2:$K$41,$B$2)</f>
        <v/>
      </c>
      <c r="G3" s="67">
        <f>INDEX(DIAS_SEMANA,1)</f>
        <v/>
      </c>
      <c r="H3" s="67">
        <f>INDEX(DIAS_SEMANA,2)</f>
        <v/>
      </c>
      <c r="I3" s="67">
        <f>INDEX(DIAS_SEMANA,3)</f>
        <v/>
      </c>
      <c r="J3" s="67">
        <f>INDEX(DIAS_SEMANA,4)</f>
        <v/>
      </c>
      <c r="K3" s="67">
        <f>INDEX(DIAS_SEMANA,5)</f>
        <v/>
      </c>
      <c r="L3" s="67">
        <f>INDEX(DIAS_SEMANA,6)</f>
        <v/>
      </c>
      <c r="M3" s="67">
        <f>INDEX(DIAS_SEMANA,7)</f>
        <v/>
      </c>
      <c r="P3" s="26" t="n">
        <v>1</v>
      </c>
      <c r="Q3" s="26" t="n">
        <v>2</v>
      </c>
      <c r="R3" s="26">
        <f>INDEX(Progreso!$AZ$2:$BI$41,$P3,$Q3)</f>
        <v/>
      </c>
      <c r="S3" s="18">
        <f>IF(INDEX(Progreso!$AB$2:$AK$41,$P3,$Q3)=0,"",INDEX(Progreso!$AB$2:$AK$41,$P3,$Q3))</f>
        <v/>
      </c>
      <c r="T3" s="26">
        <f>IF($R3=0,"",COUNTIFS($R$2:$R$401,"&gt;0",$R$2:$R$401,"&lt;"&amp;$R3)+COUNTIFS($R$2:R3,"="&amp;$R3))</f>
        <v/>
      </c>
    </row>
    <row r="4" ht="4" customHeight="1">
      <c r="A4" s="7" t="inlineStr">
        <is>
          <t>Vencidas sin hacer</t>
        </is>
      </c>
      <c r="B4" s="66">
        <f>SUMPRODUCT((Progreso!$AZ$2:$BI$41&gt;0)*(Progreso!$AZ$2:$BI$41&lt;$B$2)*(Progreso!$AB$2:$AK$41=""))</f>
        <v/>
      </c>
      <c r="P4" s="26" t="n">
        <v>1</v>
      </c>
      <c r="Q4" s="26" t="n">
        <v>3</v>
      </c>
      <c r="R4" s="26">
        <f>INDEX(Progreso!$AZ$2:$BI$41,$P4,$Q4)</f>
        <v/>
      </c>
      <c r="S4" s="18">
        <f>IF(INDEX(Progreso!$AB$2:$AK$41,$P4,$Q4)=0,"",INDEX(Progreso!$AB$2:$AK$41,$P4,$Q4))</f>
        <v/>
      </c>
      <c r="T4" s="26">
        <f>IF($R4=0,"",COUNTIFS($R$2:$R$401,"&gt;0",$R$2:$R$401,"&lt;"&amp;$R4)+COUNTIFS($R$2:R4,"="&amp;$R4))</f>
        <v/>
      </c>
    </row>
    <row r="5" ht="22.5" customHeight="1">
      <c r="A5" s="7" t="inlineStr">
        <is>
          <t>Próximos 7 días</t>
        </is>
      </c>
      <c r="B5" s="66">
        <f>SUMPRODUCT((Progreso!$AZ$2:$BI$41&gt;$B$2)*(Progreso!$AZ$2:$BI$41&lt;=$B$2+VENTANA_PROXIMA))</f>
        <v/>
      </c>
      <c r="G5" s="107">
        <f>IF(MONTH($G$2-WEEKDAY($G$2,2)+1+(ROW()-ROW($G$3)-2)*DIAS_POR_SEMANA+(COLUMN()-COLUMN($G$3)))&lt;&gt;MONTH($G$2),"",$G$2-WEEKDAY($G$2,2)+1+(ROW()-ROW($G$3)-2)*DIAS_POR_SEMANA+(COLUMN()-COLUMN($G$3)))</f>
        <v/>
      </c>
      <c r="H5" s="107">
        <f>IF(MONTH($G$2-WEEKDAY($G$2,2)+1+(ROW()-ROW($G$3)-2)*DIAS_POR_SEMANA+(COLUMN()-COLUMN($G$3)))&lt;&gt;MONTH($G$2),"",$G$2-WEEKDAY($G$2,2)+1+(ROW()-ROW($G$3)-2)*DIAS_POR_SEMANA+(COLUMN()-COLUMN($G$3)))</f>
        <v/>
      </c>
      <c r="I5" s="107">
        <f>IF(MONTH($G$2-WEEKDAY($G$2,2)+1+(ROW()-ROW($G$3)-2)*DIAS_POR_SEMANA+(COLUMN()-COLUMN($G$3)))&lt;&gt;MONTH($G$2),"",$G$2-WEEKDAY($G$2,2)+1+(ROW()-ROW($G$3)-2)*DIAS_POR_SEMANA+(COLUMN()-COLUMN($G$3)))</f>
        <v/>
      </c>
      <c r="J5" s="107">
        <f>IF(MONTH($G$2-WEEKDAY($G$2,2)+1+(ROW()-ROW($G$3)-2)*DIAS_POR_SEMANA+(COLUMN()-COLUMN($G$3)))&lt;&gt;MONTH($G$2),"",$G$2-WEEKDAY($G$2,2)+1+(ROW()-ROW($G$3)-2)*DIAS_POR_SEMANA+(COLUMN()-COLUMN($G$3)))</f>
        <v/>
      </c>
      <c r="K5" s="107">
        <f>IF(MONTH($G$2-WEEKDAY($G$2,2)+1+(ROW()-ROW($G$3)-2)*DIAS_POR_SEMANA+(COLUMN()-COLUMN($G$3)))&lt;&gt;MONTH($G$2),"",$G$2-WEEKDAY($G$2,2)+1+(ROW()-ROW($G$3)-2)*DIAS_POR_SEMANA+(COLUMN()-COLUMN($G$3)))</f>
        <v/>
      </c>
      <c r="L5" s="107">
        <f>IF(MONTH($G$2-WEEKDAY($G$2,2)+1+(ROW()-ROW($G$3)-2)*DIAS_POR_SEMANA+(COLUMN()-COLUMN($G$3)))&lt;&gt;MONTH($G$2),"",$G$2-WEEKDAY($G$2,2)+1+(ROW()-ROW($G$3)-2)*DIAS_POR_SEMANA+(COLUMN()-COLUMN($G$3)))</f>
        <v/>
      </c>
      <c r="M5" s="107">
        <f>IF(MONTH($G$2-WEEKDAY($G$2,2)+1+(ROW()-ROW($G$3)-2)*DIAS_POR_SEMANA+(COLUMN()-COLUMN($G$3)))&lt;&gt;MONTH($G$2),"",$G$2-WEEKDAY($G$2,2)+1+(ROW()-ROW($G$3)-2)*DIAS_POR_SEMANA+(COLUMN()-COLUMN($G$3)))</f>
        <v/>
      </c>
      <c r="P5" s="26" t="n">
        <v>1</v>
      </c>
      <c r="Q5" s="26" t="n">
        <v>4</v>
      </c>
      <c r="R5" s="26">
        <f>INDEX(Progreso!$AZ$2:$BI$41,$P5,$Q5)</f>
        <v/>
      </c>
      <c r="S5" s="18">
        <f>IF(INDEX(Progreso!$AB$2:$AK$41,$P5,$Q5)=0,"",INDEX(Progreso!$AB$2:$AK$41,$P5,$Q5))</f>
        <v/>
      </c>
      <c r="T5" s="26">
        <f>IF($R5=0,"",COUNTIFS($R$2:$R$401,"&gt;0",$R$2:$R$401,"&lt;"&amp;$R5)+COUNTIFS($R$2:R5,"="&amp;$R5))</f>
        <v/>
      </c>
    </row>
    <row r="6" ht="22.5" customHeight="1">
      <c r="G6" s="107">
        <f>IF(MONTH($G$2-WEEKDAY($G$2,2)+1+(ROW()-ROW($G$3)-2)*DIAS_POR_SEMANA+(COLUMN()-COLUMN($G$3)))&lt;&gt;MONTH($G$2),"",$G$2-WEEKDAY($G$2,2)+1+(ROW()-ROW($G$3)-2)*DIAS_POR_SEMANA+(COLUMN()-COLUMN($G$3)))</f>
        <v/>
      </c>
      <c r="H6" s="107">
        <f>IF(MONTH($G$2-WEEKDAY($G$2,2)+1+(ROW()-ROW($G$3)-2)*DIAS_POR_SEMANA+(COLUMN()-COLUMN($G$3)))&lt;&gt;MONTH($G$2),"",$G$2-WEEKDAY($G$2,2)+1+(ROW()-ROW($G$3)-2)*DIAS_POR_SEMANA+(COLUMN()-COLUMN($G$3)))</f>
        <v/>
      </c>
      <c r="I6" s="107">
        <f>IF(MONTH($G$2-WEEKDAY($G$2,2)+1+(ROW()-ROW($G$3)-2)*DIAS_POR_SEMANA+(COLUMN()-COLUMN($G$3)))&lt;&gt;MONTH($G$2),"",$G$2-WEEKDAY($G$2,2)+1+(ROW()-ROW($G$3)-2)*DIAS_POR_SEMANA+(COLUMN()-COLUMN($G$3)))</f>
        <v/>
      </c>
      <c r="J6" s="107">
        <f>IF(MONTH($G$2-WEEKDAY($G$2,2)+1+(ROW()-ROW($G$3)-2)*DIAS_POR_SEMANA+(COLUMN()-COLUMN($G$3)))&lt;&gt;MONTH($G$2),"",$G$2-WEEKDAY($G$2,2)+1+(ROW()-ROW($G$3)-2)*DIAS_POR_SEMANA+(COLUMN()-COLUMN($G$3)))</f>
        <v/>
      </c>
      <c r="K6" s="107">
        <f>IF(MONTH($G$2-WEEKDAY($G$2,2)+1+(ROW()-ROW($G$3)-2)*DIAS_POR_SEMANA+(COLUMN()-COLUMN($G$3)))&lt;&gt;MONTH($G$2),"",$G$2-WEEKDAY($G$2,2)+1+(ROW()-ROW($G$3)-2)*DIAS_POR_SEMANA+(COLUMN()-COLUMN($G$3)))</f>
        <v/>
      </c>
      <c r="L6" s="107">
        <f>IF(MONTH($G$2-WEEKDAY($G$2,2)+1+(ROW()-ROW($G$3)-2)*DIAS_POR_SEMANA+(COLUMN()-COLUMN($G$3)))&lt;&gt;MONTH($G$2),"",$G$2-WEEKDAY($G$2,2)+1+(ROW()-ROW($G$3)-2)*DIAS_POR_SEMANA+(COLUMN()-COLUMN($G$3)))</f>
        <v/>
      </c>
      <c r="M6" s="107">
        <f>IF(MONTH($G$2-WEEKDAY($G$2,2)+1+(ROW()-ROW($G$3)-2)*DIAS_POR_SEMANA+(COLUMN()-COLUMN($G$3)))&lt;&gt;MONTH($G$2),"",$G$2-WEEKDAY($G$2,2)+1+(ROW()-ROW($G$3)-2)*DIAS_POR_SEMANA+(COLUMN()-COLUMN($G$3)))</f>
        <v/>
      </c>
      <c r="P6" s="26" t="n">
        <v>1</v>
      </c>
      <c r="Q6" s="26" t="n">
        <v>5</v>
      </c>
      <c r="R6" s="26">
        <f>INDEX(Progreso!$AZ$2:$BI$41,$P6,$Q6)</f>
        <v/>
      </c>
      <c r="S6" s="18">
        <f>IF(INDEX(Progreso!$AB$2:$AK$41,$P6,$Q6)=0,"",INDEX(Progreso!$AB$2:$AK$41,$P6,$Q6))</f>
        <v/>
      </c>
      <c r="T6" s="26">
        <f>IF($R6=0,"",COUNTIFS($R$2:$R$401,"&gt;0",$R$2:$R$401,"&lt;"&amp;$R6)+COUNTIFS($R$2:R6,"="&amp;$R6))</f>
        <v/>
      </c>
    </row>
    <row r="7" ht="22.5" customHeight="1">
      <c r="G7" s="107">
        <f>IF(MONTH($G$2-WEEKDAY($G$2,2)+1+(ROW()-ROW($G$3)-2)*DIAS_POR_SEMANA+(COLUMN()-COLUMN($G$3)))&lt;&gt;MONTH($G$2),"",$G$2-WEEKDAY($G$2,2)+1+(ROW()-ROW($G$3)-2)*DIAS_POR_SEMANA+(COLUMN()-COLUMN($G$3)))</f>
        <v/>
      </c>
      <c r="H7" s="107">
        <f>IF(MONTH($G$2-WEEKDAY($G$2,2)+1+(ROW()-ROW($G$3)-2)*DIAS_POR_SEMANA+(COLUMN()-COLUMN($G$3)))&lt;&gt;MONTH($G$2),"",$G$2-WEEKDAY($G$2,2)+1+(ROW()-ROW($G$3)-2)*DIAS_POR_SEMANA+(COLUMN()-COLUMN($G$3)))</f>
        <v/>
      </c>
      <c r="I7" s="107">
        <f>IF(MONTH($G$2-WEEKDAY($G$2,2)+1+(ROW()-ROW($G$3)-2)*DIAS_POR_SEMANA+(COLUMN()-COLUMN($G$3)))&lt;&gt;MONTH($G$2),"",$G$2-WEEKDAY($G$2,2)+1+(ROW()-ROW($G$3)-2)*DIAS_POR_SEMANA+(COLUMN()-COLUMN($G$3)))</f>
        <v/>
      </c>
      <c r="J7" s="107">
        <f>IF(MONTH($G$2-WEEKDAY($G$2,2)+1+(ROW()-ROW($G$3)-2)*DIAS_POR_SEMANA+(COLUMN()-COLUMN($G$3)))&lt;&gt;MONTH($G$2),"",$G$2-WEEKDAY($G$2,2)+1+(ROW()-ROW($G$3)-2)*DIAS_POR_SEMANA+(COLUMN()-COLUMN($G$3)))</f>
        <v/>
      </c>
      <c r="K7" s="107">
        <f>IF(MONTH($G$2-WEEKDAY($G$2,2)+1+(ROW()-ROW($G$3)-2)*DIAS_POR_SEMANA+(COLUMN()-COLUMN($G$3)))&lt;&gt;MONTH($G$2),"",$G$2-WEEKDAY($G$2,2)+1+(ROW()-ROW($G$3)-2)*DIAS_POR_SEMANA+(COLUMN()-COLUMN($G$3)))</f>
        <v/>
      </c>
      <c r="L7" s="107">
        <f>IF(MONTH($G$2-WEEKDAY($G$2,2)+1+(ROW()-ROW($G$3)-2)*DIAS_POR_SEMANA+(COLUMN()-COLUMN($G$3)))&lt;&gt;MONTH($G$2),"",$G$2-WEEKDAY($G$2,2)+1+(ROW()-ROW($G$3)-2)*DIAS_POR_SEMANA+(COLUMN()-COLUMN($G$3)))</f>
        <v/>
      </c>
      <c r="M7" s="107">
        <f>IF(MONTH($G$2-WEEKDAY($G$2,2)+1+(ROW()-ROW($G$3)-2)*DIAS_POR_SEMANA+(COLUMN()-COLUMN($G$3)))&lt;&gt;MONTH($G$2),"",$G$2-WEEKDAY($G$2,2)+1+(ROW()-ROW($G$3)-2)*DIAS_POR_SEMANA+(COLUMN()-COLUMN($G$3)))</f>
        <v/>
      </c>
      <c r="P7" s="26" t="n">
        <v>1</v>
      </c>
      <c r="Q7" s="26" t="n">
        <v>6</v>
      </c>
      <c r="R7" s="26">
        <f>INDEX(Progreso!$AZ$2:$BI$41,$P7,$Q7)</f>
        <v/>
      </c>
      <c r="S7" s="18">
        <f>IF(INDEX(Progreso!$AB$2:$AK$41,$P7,$Q7)=0,"",INDEX(Progreso!$AB$2:$AK$41,$P7,$Q7))</f>
        <v/>
      </c>
      <c r="T7" s="26">
        <f>IF($R7=0,"",COUNTIFS($R$2:$R$401,"&gt;0",$R$2:$R$401,"&lt;"&amp;$R7)+COUNTIFS($R$2:R7,"="&amp;$R7))</f>
        <v/>
      </c>
    </row>
    <row r="8" ht="22.5" customHeight="1">
      <c r="G8" s="107">
        <f>IF(MONTH($G$2-WEEKDAY($G$2,2)+1+(ROW()-ROW($G$3)-2)*DIAS_POR_SEMANA+(COLUMN()-COLUMN($G$3)))&lt;&gt;MONTH($G$2),"",$G$2-WEEKDAY($G$2,2)+1+(ROW()-ROW($G$3)-2)*DIAS_POR_SEMANA+(COLUMN()-COLUMN($G$3)))</f>
        <v/>
      </c>
      <c r="H8" s="107">
        <f>IF(MONTH($G$2-WEEKDAY($G$2,2)+1+(ROW()-ROW($G$3)-2)*DIAS_POR_SEMANA+(COLUMN()-COLUMN($G$3)))&lt;&gt;MONTH($G$2),"",$G$2-WEEKDAY($G$2,2)+1+(ROW()-ROW($G$3)-2)*DIAS_POR_SEMANA+(COLUMN()-COLUMN($G$3)))</f>
        <v/>
      </c>
      <c r="I8" s="107">
        <f>IF(MONTH($G$2-WEEKDAY($G$2,2)+1+(ROW()-ROW($G$3)-2)*DIAS_POR_SEMANA+(COLUMN()-COLUMN($G$3)))&lt;&gt;MONTH($G$2),"",$G$2-WEEKDAY($G$2,2)+1+(ROW()-ROW($G$3)-2)*DIAS_POR_SEMANA+(COLUMN()-COLUMN($G$3)))</f>
        <v/>
      </c>
      <c r="J8" s="107">
        <f>IF(MONTH($G$2-WEEKDAY($G$2,2)+1+(ROW()-ROW($G$3)-2)*DIAS_POR_SEMANA+(COLUMN()-COLUMN($G$3)))&lt;&gt;MONTH($G$2),"",$G$2-WEEKDAY($G$2,2)+1+(ROW()-ROW($G$3)-2)*DIAS_POR_SEMANA+(COLUMN()-COLUMN($G$3)))</f>
        <v/>
      </c>
      <c r="K8" s="107">
        <f>IF(MONTH($G$2-WEEKDAY($G$2,2)+1+(ROW()-ROW($G$3)-2)*DIAS_POR_SEMANA+(COLUMN()-COLUMN($G$3)))&lt;&gt;MONTH($G$2),"",$G$2-WEEKDAY($G$2,2)+1+(ROW()-ROW($G$3)-2)*DIAS_POR_SEMANA+(COLUMN()-COLUMN($G$3)))</f>
        <v/>
      </c>
      <c r="L8" s="107">
        <f>IF(MONTH($G$2-WEEKDAY($G$2,2)+1+(ROW()-ROW($G$3)-2)*DIAS_POR_SEMANA+(COLUMN()-COLUMN($G$3)))&lt;&gt;MONTH($G$2),"",$G$2-WEEKDAY($G$2,2)+1+(ROW()-ROW($G$3)-2)*DIAS_POR_SEMANA+(COLUMN()-COLUMN($G$3)))</f>
        <v/>
      </c>
      <c r="M8" s="107">
        <f>IF(MONTH($G$2-WEEKDAY($G$2,2)+1+(ROW()-ROW($G$3)-2)*DIAS_POR_SEMANA+(COLUMN()-COLUMN($G$3)))&lt;&gt;MONTH($G$2),"",$G$2-WEEKDAY($G$2,2)+1+(ROW()-ROW($G$3)-2)*DIAS_POR_SEMANA+(COLUMN()-COLUMN($G$3)))</f>
        <v/>
      </c>
      <c r="P8" s="26" t="n">
        <v>1</v>
      </c>
      <c r="Q8" s="26" t="n">
        <v>7</v>
      </c>
      <c r="R8" s="26">
        <f>INDEX(Progreso!$AZ$2:$BI$41,$P8,$Q8)</f>
        <v/>
      </c>
      <c r="S8" s="18">
        <f>IF(INDEX(Progreso!$AB$2:$AK$41,$P8,$Q8)=0,"",INDEX(Progreso!$AB$2:$AK$41,$P8,$Q8))</f>
        <v/>
      </c>
      <c r="T8" s="26">
        <f>IF($R8=0,"",COUNTIFS($R$2:$R$401,"&gt;0",$R$2:$R$401,"&lt;"&amp;$R8)+COUNTIFS($R$2:R8,"="&amp;$R8))</f>
        <v/>
      </c>
    </row>
    <row r="9" ht="22.5" customHeight="1">
      <c r="G9" s="107">
        <f>IF(MONTH($G$2-WEEKDAY($G$2,2)+1+(ROW()-ROW($G$3)-2)*DIAS_POR_SEMANA+(COLUMN()-COLUMN($G$3)))&lt;&gt;MONTH($G$2),"",$G$2-WEEKDAY($G$2,2)+1+(ROW()-ROW($G$3)-2)*DIAS_POR_SEMANA+(COLUMN()-COLUMN($G$3)))</f>
        <v/>
      </c>
      <c r="H9" s="107">
        <f>IF(MONTH($G$2-WEEKDAY($G$2,2)+1+(ROW()-ROW($G$3)-2)*DIAS_POR_SEMANA+(COLUMN()-COLUMN($G$3)))&lt;&gt;MONTH($G$2),"",$G$2-WEEKDAY($G$2,2)+1+(ROW()-ROW($G$3)-2)*DIAS_POR_SEMANA+(COLUMN()-COLUMN($G$3)))</f>
        <v/>
      </c>
      <c r="I9" s="107">
        <f>IF(MONTH($G$2-WEEKDAY($G$2,2)+1+(ROW()-ROW($G$3)-2)*DIAS_POR_SEMANA+(COLUMN()-COLUMN($G$3)))&lt;&gt;MONTH($G$2),"",$G$2-WEEKDAY($G$2,2)+1+(ROW()-ROW($G$3)-2)*DIAS_POR_SEMANA+(COLUMN()-COLUMN($G$3)))</f>
        <v/>
      </c>
      <c r="J9" s="107">
        <f>IF(MONTH($G$2-WEEKDAY($G$2,2)+1+(ROW()-ROW($G$3)-2)*DIAS_POR_SEMANA+(COLUMN()-COLUMN($G$3)))&lt;&gt;MONTH($G$2),"",$G$2-WEEKDAY($G$2,2)+1+(ROW()-ROW($G$3)-2)*DIAS_POR_SEMANA+(COLUMN()-COLUMN($G$3)))</f>
        <v/>
      </c>
      <c r="K9" s="107">
        <f>IF(MONTH($G$2-WEEKDAY($G$2,2)+1+(ROW()-ROW($G$3)-2)*DIAS_POR_SEMANA+(COLUMN()-COLUMN($G$3)))&lt;&gt;MONTH($G$2),"",$G$2-WEEKDAY($G$2,2)+1+(ROW()-ROW($G$3)-2)*DIAS_POR_SEMANA+(COLUMN()-COLUMN($G$3)))</f>
        <v/>
      </c>
      <c r="L9" s="107">
        <f>IF(MONTH($G$2-WEEKDAY($G$2,2)+1+(ROW()-ROW($G$3)-2)*DIAS_POR_SEMANA+(COLUMN()-COLUMN($G$3)))&lt;&gt;MONTH($G$2),"",$G$2-WEEKDAY($G$2,2)+1+(ROW()-ROW($G$3)-2)*DIAS_POR_SEMANA+(COLUMN()-COLUMN($G$3)))</f>
        <v/>
      </c>
      <c r="M9" s="107">
        <f>IF(MONTH($G$2-WEEKDAY($G$2,2)+1+(ROW()-ROW($G$3)-2)*DIAS_POR_SEMANA+(COLUMN()-COLUMN($G$3)))&lt;&gt;MONTH($G$2),"",$G$2-WEEKDAY($G$2,2)+1+(ROW()-ROW($G$3)-2)*DIAS_POR_SEMANA+(COLUMN()-COLUMN($G$3)))</f>
        <v/>
      </c>
      <c r="P9" s="26" t="n">
        <v>1</v>
      </c>
      <c r="Q9" s="26" t="n">
        <v>8</v>
      </c>
      <c r="R9" s="26">
        <f>INDEX(Progreso!$AZ$2:$BI$41,$P9,$Q9)</f>
        <v/>
      </c>
      <c r="S9" s="18">
        <f>IF(INDEX(Progreso!$AB$2:$AK$41,$P9,$Q9)=0,"",INDEX(Progreso!$AB$2:$AK$41,$P9,$Q9))</f>
        <v/>
      </c>
      <c r="T9" s="26">
        <f>IF($R9=0,"",COUNTIFS($R$2:$R$401,"&gt;0",$R$2:$R$401,"&lt;"&amp;$R9)+COUNTIFS($R$2:R9,"="&amp;$R9))</f>
        <v/>
      </c>
    </row>
    <row r="10" ht="22.5" customHeight="1">
      <c r="G10" s="107">
        <f>IF(MONTH($G$2-WEEKDAY($G$2,2)+1+(ROW()-ROW($G$3)-2)*DIAS_POR_SEMANA+(COLUMN()-COLUMN($G$3)))&lt;&gt;MONTH($G$2),"",$G$2-WEEKDAY($G$2,2)+1+(ROW()-ROW($G$3)-2)*DIAS_POR_SEMANA+(COLUMN()-COLUMN($G$3)))</f>
        <v/>
      </c>
      <c r="H10" s="107">
        <f>IF(MONTH($G$2-WEEKDAY($G$2,2)+1+(ROW()-ROW($G$3)-2)*DIAS_POR_SEMANA+(COLUMN()-COLUMN($G$3)))&lt;&gt;MONTH($G$2),"",$G$2-WEEKDAY($G$2,2)+1+(ROW()-ROW($G$3)-2)*DIAS_POR_SEMANA+(COLUMN()-COLUMN($G$3)))</f>
        <v/>
      </c>
      <c r="I10" s="107">
        <f>IF(MONTH($G$2-WEEKDAY($G$2,2)+1+(ROW()-ROW($G$3)-2)*DIAS_POR_SEMANA+(COLUMN()-COLUMN($G$3)))&lt;&gt;MONTH($G$2),"",$G$2-WEEKDAY($G$2,2)+1+(ROW()-ROW($G$3)-2)*DIAS_POR_SEMANA+(COLUMN()-COLUMN($G$3)))</f>
        <v/>
      </c>
      <c r="J10" s="107">
        <f>IF(MONTH($G$2-WEEKDAY($G$2,2)+1+(ROW()-ROW($G$3)-2)*DIAS_POR_SEMANA+(COLUMN()-COLUMN($G$3)))&lt;&gt;MONTH($G$2),"",$G$2-WEEKDAY($G$2,2)+1+(ROW()-ROW($G$3)-2)*DIAS_POR_SEMANA+(COLUMN()-COLUMN($G$3)))</f>
        <v/>
      </c>
      <c r="K10" s="107">
        <f>IF(MONTH($G$2-WEEKDAY($G$2,2)+1+(ROW()-ROW($G$3)-2)*DIAS_POR_SEMANA+(COLUMN()-COLUMN($G$3)))&lt;&gt;MONTH($G$2),"",$G$2-WEEKDAY($G$2,2)+1+(ROW()-ROW($G$3)-2)*DIAS_POR_SEMANA+(COLUMN()-COLUMN($G$3)))</f>
        <v/>
      </c>
      <c r="L10" s="107">
        <f>IF(MONTH($G$2-WEEKDAY($G$2,2)+1+(ROW()-ROW($G$3)-2)*DIAS_POR_SEMANA+(COLUMN()-COLUMN($G$3)))&lt;&gt;MONTH($G$2),"",$G$2-WEEKDAY($G$2,2)+1+(ROW()-ROW($G$3)-2)*DIAS_POR_SEMANA+(COLUMN()-COLUMN($G$3)))</f>
        <v/>
      </c>
      <c r="M10" s="107">
        <f>IF(MONTH($G$2-WEEKDAY($G$2,2)+1+(ROW()-ROW($G$3)-2)*DIAS_POR_SEMANA+(COLUMN()-COLUMN($G$3)))&lt;&gt;MONTH($G$2),"",$G$2-WEEKDAY($G$2,2)+1+(ROW()-ROW($G$3)-2)*DIAS_POR_SEMANA+(COLUMN()-COLUMN($G$3)))</f>
        <v/>
      </c>
      <c r="P10" s="26" t="n">
        <v>1</v>
      </c>
      <c r="Q10" s="26" t="n">
        <v>9</v>
      </c>
      <c r="R10" s="26">
        <f>INDEX(Progreso!$AZ$2:$BI$41,$P10,$Q10)</f>
        <v/>
      </c>
      <c r="S10" s="18">
        <f>IF(INDEX(Progreso!$AB$2:$AK$41,$P10,$Q10)=0,"",INDEX(Progreso!$AB$2:$AK$41,$P10,$Q10))</f>
        <v/>
      </c>
      <c r="T10" s="26">
        <f>IF($R10=0,"",COUNTIFS($R$2:$R$401,"&gt;0",$R$2:$R$401,"&lt;"&amp;$R10)+COUNTIFS($R$2:R10,"="&amp;$R10))</f>
        <v/>
      </c>
    </row>
    <row r="11">
      <c r="P11" s="26" t="n">
        <v>1</v>
      </c>
      <c r="Q11" s="26" t="n">
        <v>10</v>
      </c>
      <c r="R11" s="26">
        <f>INDEX(Progreso!$AZ$2:$BI$41,$P11,$Q11)</f>
        <v/>
      </c>
      <c r="S11" s="18">
        <f>IF(INDEX(Progreso!$AB$2:$AK$41,$P11,$Q11)=0,"",INDEX(Progreso!$AB$2:$AK$41,$P11,$Q11))</f>
        <v/>
      </c>
      <c r="T11" s="26">
        <f>IF($R11=0,"",COUNTIFS($R$2:$R$401,"&gt;0",$R$2:$R$401,"&lt;"&amp;$R11)+COUNTIFS($R$2:R11,"="&amp;$R11))</f>
        <v/>
      </c>
    </row>
    <row r="12" ht="22.5" customHeight="1">
      <c r="A12" s="1" t="inlineStr">
        <is>
          <t>Fecha</t>
        </is>
      </c>
      <c r="B12" s="1" t="inlineStr">
        <is>
          <t>Día de la semana</t>
        </is>
      </c>
      <c r="C12" s="1" t="inlineStr">
        <is>
          <t>Tema</t>
        </is>
      </c>
      <c r="D12" s="1" t="inlineStr">
        <is>
          <t>Nº de sesión</t>
        </is>
      </c>
      <c r="E12" s="1" t="inlineStr">
        <is>
          <t>Estado</t>
        </is>
      </c>
      <c r="P12" s="26" t="n">
        <v>2</v>
      </c>
      <c r="Q12" s="26" t="n">
        <v>1</v>
      </c>
      <c r="R12" s="26">
        <f>INDEX(Progreso!$AZ$2:$BI$41,$P12,$Q12)</f>
        <v/>
      </c>
      <c r="S12" s="18">
        <f>IF(INDEX(Progreso!$AB$2:$AK$41,$P12,$Q12)=0,"",INDEX(Progreso!$AB$2:$AK$41,$P12,$Q12))</f>
        <v/>
      </c>
      <c r="T12" s="26">
        <f>IF($R12=0,"",COUNTIFS($R$2:$R$401,"&gt;0",$R$2:$R$401,"&lt;"&amp;$R12)+COUNTIFS($R$2:R12,"="&amp;$R12))</f>
        <v/>
      </c>
      <c r="V12" s="17" t="inlineStr">
        <is>
          <t>Posición en el motor</t>
        </is>
      </c>
    </row>
    <row r="13" ht="22.5" customHeight="1">
      <c r="A13" s="78">
        <f>IF($V13="","",INDEX($R$2:$R$401,$V13))</f>
        <v/>
      </c>
      <c r="B13" s="2">
        <f>IF($V13="","",INDEX(DIAS_SEMANA,WEEKDAY(INDEX($R$2:$R$401,$V13),2)))</f>
        <v/>
      </c>
      <c r="C13" s="2">
        <f>IF($V13="","","Tema "&amp;INDEX($P$2:$P$401,$V13))</f>
        <v/>
      </c>
      <c r="D13" s="69">
        <f>IF($V13="","",INDEX($Q$2:$Q$401,$V13))</f>
        <v/>
      </c>
      <c r="E13" s="2">
        <f>IF($V13="","",IF(INDEX($S$2:$S$401,$V13)&lt;&gt;"",INDEX($S$2:$S$401,$V13),IF(INDEX($R$2:$R$401,$V13)&lt;$B$2,"Vencida",IF(INDEX($R$2:$R$401,$V13)=$B$2,"Hoy","Programada"))))</f>
        <v/>
      </c>
      <c r="P13" s="26" t="n">
        <v>2</v>
      </c>
      <c r="Q13" s="26" t="n">
        <v>2</v>
      </c>
      <c r="R13" s="26">
        <f>INDEX(Progreso!$AZ$2:$BI$41,$P13,$Q13)</f>
        <v/>
      </c>
      <c r="S13" s="18">
        <f>IF(INDEX(Progreso!$AB$2:$AK$41,$P13,$Q13)=0,"",INDEX(Progreso!$AB$2:$AK$41,$P13,$Q13))</f>
        <v/>
      </c>
      <c r="T13" s="26">
        <f>IF($R13=0,"",COUNTIFS($R$2:$R$401,"&gt;0",$R$2:$R$401,"&lt;"&amp;$R13)+COUNTIFS($R$2:R13,"="&amp;$R13))</f>
        <v/>
      </c>
      <c r="V13" s="26">
        <f>IFERROR(MATCH(ROW()-ROW($V$12),$T$2:$T$401,0),"")</f>
        <v/>
      </c>
    </row>
    <row r="14" ht="22.5" customHeight="1">
      <c r="A14" s="85">
        <f>IF($V14="","",INDEX($R$2:$R$401,$V14))</f>
        <v/>
      </c>
      <c r="B14" s="4">
        <f>IF($V14="","",INDEX(DIAS_SEMANA,WEEKDAY(INDEX($R$2:$R$401,$V14),2)))</f>
        <v/>
      </c>
      <c r="C14" s="4">
        <f>IF($V14="","","Tema "&amp;INDEX($P$2:$P$401,$V14))</f>
        <v/>
      </c>
      <c r="D14" s="70">
        <f>IF($V14="","",INDEX($Q$2:$Q$401,$V14))</f>
        <v/>
      </c>
      <c r="E14" s="4">
        <f>IF($V14="","",IF(INDEX($S$2:$S$401,$V14)&lt;&gt;"",INDEX($S$2:$S$401,$V14),IF(INDEX($R$2:$R$401,$V14)&lt;$B$2,"Vencida",IF(INDEX($R$2:$R$401,$V14)=$B$2,"Hoy","Programada"))))</f>
        <v/>
      </c>
      <c r="P14" s="26" t="n">
        <v>2</v>
      </c>
      <c r="Q14" s="26" t="n">
        <v>3</v>
      </c>
      <c r="R14" s="26">
        <f>INDEX(Progreso!$AZ$2:$BI$41,$P14,$Q14)</f>
        <v/>
      </c>
      <c r="S14" s="18">
        <f>IF(INDEX(Progreso!$AB$2:$AK$41,$P14,$Q14)=0,"",INDEX(Progreso!$AB$2:$AK$41,$P14,$Q14))</f>
        <v/>
      </c>
      <c r="T14" s="26">
        <f>IF($R14=0,"",COUNTIFS($R$2:$R$401,"&gt;0",$R$2:$R$401,"&lt;"&amp;$R14)+COUNTIFS($R$2:R14,"="&amp;$R14))</f>
        <v/>
      </c>
      <c r="V14" s="26">
        <f>IFERROR(MATCH(ROW()-ROW($V$12),$T$2:$T$401,0),"")</f>
        <v/>
      </c>
    </row>
    <row r="15" ht="22.5" customHeight="1">
      <c r="A15" s="78">
        <f>IF($V15="","",INDEX($R$2:$R$401,$V15))</f>
        <v/>
      </c>
      <c r="B15" s="2">
        <f>IF($V15="","",INDEX(DIAS_SEMANA,WEEKDAY(INDEX($R$2:$R$401,$V15),2)))</f>
        <v/>
      </c>
      <c r="C15" s="2">
        <f>IF($V15="","","Tema "&amp;INDEX($P$2:$P$401,$V15))</f>
        <v/>
      </c>
      <c r="D15" s="69">
        <f>IF($V15="","",INDEX($Q$2:$Q$401,$V15))</f>
        <v/>
      </c>
      <c r="E15" s="2">
        <f>IF($V15="","",IF(INDEX($S$2:$S$401,$V15)&lt;&gt;"",INDEX($S$2:$S$401,$V15),IF(INDEX($R$2:$R$401,$V15)&lt;$B$2,"Vencida",IF(INDEX($R$2:$R$401,$V15)=$B$2,"Hoy","Programada"))))</f>
        <v/>
      </c>
      <c r="P15" s="26" t="n">
        <v>2</v>
      </c>
      <c r="Q15" s="26" t="n">
        <v>4</v>
      </c>
      <c r="R15" s="26">
        <f>INDEX(Progreso!$AZ$2:$BI$41,$P15,$Q15)</f>
        <v/>
      </c>
      <c r="S15" s="18">
        <f>IF(INDEX(Progreso!$AB$2:$AK$41,$P15,$Q15)=0,"",INDEX(Progreso!$AB$2:$AK$41,$P15,$Q15))</f>
        <v/>
      </c>
      <c r="T15" s="26">
        <f>IF($R15=0,"",COUNTIFS($R$2:$R$401,"&gt;0",$R$2:$R$401,"&lt;"&amp;$R15)+COUNTIFS($R$2:R15,"="&amp;$R15))</f>
        <v/>
      </c>
      <c r="V15" s="26">
        <f>IFERROR(MATCH(ROW()-ROW($V$12),$T$2:$T$401,0),"")</f>
        <v/>
      </c>
    </row>
    <row r="16" ht="22.5" customHeight="1">
      <c r="A16" s="85">
        <f>IF($V16="","",INDEX($R$2:$R$401,$V16))</f>
        <v/>
      </c>
      <c r="B16" s="4">
        <f>IF($V16="","",INDEX(DIAS_SEMANA,WEEKDAY(INDEX($R$2:$R$401,$V16),2)))</f>
        <v/>
      </c>
      <c r="C16" s="4">
        <f>IF($V16="","","Tema "&amp;INDEX($P$2:$P$401,$V16))</f>
        <v/>
      </c>
      <c r="D16" s="70">
        <f>IF($V16="","",INDEX($Q$2:$Q$401,$V16))</f>
        <v/>
      </c>
      <c r="E16" s="4">
        <f>IF($V16="","",IF(INDEX($S$2:$S$401,$V16)&lt;&gt;"",INDEX($S$2:$S$401,$V16),IF(INDEX($R$2:$R$401,$V16)&lt;$B$2,"Vencida",IF(INDEX($R$2:$R$401,$V16)=$B$2,"Hoy","Programada"))))</f>
        <v/>
      </c>
      <c r="P16" s="26" t="n">
        <v>2</v>
      </c>
      <c r="Q16" s="26" t="n">
        <v>5</v>
      </c>
      <c r="R16" s="26">
        <f>INDEX(Progreso!$AZ$2:$BI$41,$P16,$Q16)</f>
        <v/>
      </c>
      <c r="S16" s="18">
        <f>IF(INDEX(Progreso!$AB$2:$AK$41,$P16,$Q16)=0,"",INDEX(Progreso!$AB$2:$AK$41,$P16,$Q16))</f>
        <v/>
      </c>
      <c r="T16" s="26">
        <f>IF($R16=0,"",COUNTIFS($R$2:$R$401,"&gt;0",$R$2:$R$401,"&lt;"&amp;$R16)+COUNTIFS($R$2:R16,"="&amp;$R16))</f>
        <v/>
      </c>
      <c r="V16" s="26">
        <f>IFERROR(MATCH(ROW()-ROW($V$12),$T$2:$T$401,0),"")</f>
        <v/>
      </c>
    </row>
    <row r="17" ht="22.5" customHeight="1">
      <c r="A17" s="78">
        <f>IF($V17="","",INDEX($R$2:$R$401,$V17))</f>
        <v/>
      </c>
      <c r="B17" s="2">
        <f>IF($V17="","",INDEX(DIAS_SEMANA,WEEKDAY(INDEX($R$2:$R$401,$V17),2)))</f>
        <v/>
      </c>
      <c r="C17" s="2">
        <f>IF($V17="","","Tema "&amp;INDEX($P$2:$P$401,$V17))</f>
        <v/>
      </c>
      <c r="D17" s="69">
        <f>IF($V17="","",INDEX($Q$2:$Q$401,$V17))</f>
        <v/>
      </c>
      <c r="E17" s="2">
        <f>IF($V17="","",IF(INDEX($S$2:$S$401,$V17)&lt;&gt;"",INDEX($S$2:$S$401,$V17),IF(INDEX($R$2:$R$401,$V17)&lt;$B$2,"Vencida",IF(INDEX($R$2:$R$401,$V17)=$B$2,"Hoy","Programada"))))</f>
        <v/>
      </c>
      <c r="P17" s="26" t="n">
        <v>2</v>
      </c>
      <c r="Q17" s="26" t="n">
        <v>6</v>
      </c>
      <c r="R17" s="26">
        <f>INDEX(Progreso!$AZ$2:$BI$41,$P17,$Q17)</f>
        <v/>
      </c>
      <c r="S17" s="18">
        <f>IF(INDEX(Progreso!$AB$2:$AK$41,$P17,$Q17)=0,"",INDEX(Progreso!$AB$2:$AK$41,$P17,$Q17))</f>
        <v/>
      </c>
      <c r="T17" s="26">
        <f>IF($R17=0,"",COUNTIFS($R$2:$R$401,"&gt;0",$R$2:$R$401,"&lt;"&amp;$R17)+COUNTIFS($R$2:R17,"="&amp;$R17))</f>
        <v/>
      </c>
      <c r="V17" s="26">
        <f>IFERROR(MATCH(ROW()-ROW($V$12),$T$2:$T$401,0),"")</f>
        <v/>
      </c>
    </row>
    <row r="18" ht="22.5" customHeight="1">
      <c r="A18" s="85">
        <f>IF($V18="","",INDEX($R$2:$R$401,$V18))</f>
        <v/>
      </c>
      <c r="B18" s="4">
        <f>IF($V18="","",INDEX(DIAS_SEMANA,WEEKDAY(INDEX($R$2:$R$401,$V18),2)))</f>
        <v/>
      </c>
      <c r="C18" s="4">
        <f>IF($V18="","","Tema "&amp;INDEX($P$2:$P$401,$V18))</f>
        <v/>
      </c>
      <c r="D18" s="70">
        <f>IF($V18="","",INDEX($Q$2:$Q$401,$V18))</f>
        <v/>
      </c>
      <c r="E18" s="4">
        <f>IF($V18="","",IF(INDEX($S$2:$S$401,$V18)&lt;&gt;"",INDEX($S$2:$S$401,$V18),IF(INDEX($R$2:$R$401,$V18)&lt;$B$2,"Vencida",IF(INDEX($R$2:$R$401,$V18)=$B$2,"Hoy","Programada"))))</f>
        <v/>
      </c>
      <c r="P18" s="26" t="n">
        <v>2</v>
      </c>
      <c r="Q18" s="26" t="n">
        <v>7</v>
      </c>
      <c r="R18" s="26">
        <f>INDEX(Progreso!$AZ$2:$BI$41,$P18,$Q18)</f>
        <v/>
      </c>
      <c r="S18" s="18">
        <f>IF(INDEX(Progreso!$AB$2:$AK$41,$P18,$Q18)=0,"",INDEX(Progreso!$AB$2:$AK$41,$P18,$Q18))</f>
        <v/>
      </c>
      <c r="T18" s="26">
        <f>IF($R18=0,"",COUNTIFS($R$2:$R$401,"&gt;0",$R$2:$R$401,"&lt;"&amp;$R18)+COUNTIFS($R$2:R18,"="&amp;$R18))</f>
        <v/>
      </c>
      <c r="V18" s="26">
        <f>IFERROR(MATCH(ROW()-ROW($V$12),$T$2:$T$401,0),"")</f>
        <v/>
      </c>
    </row>
    <row r="19" ht="22.5" customHeight="1">
      <c r="A19" s="78">
        <f>IF($V19="","",INDEX($R$2:$R$401,$V19))</f>
        <v/>
      </c>
      <c r="B19" s="2">
        <f>IF($V19="","",INDEX(DIAS_SEMANA,WEEKDAY(INDEX($R$2:$R$401,$V19),2)))</f>
        <v/>
      </c>
      <c r="C19" s="2">
        <f>IF($V19="","","Tema "&amp;INDEX($P$2:$P$401,$V19))</f>
        <v/>
      </c>
      <c r="D19" s="69">
        <f>IF($V19="","",INDEX($Q$2:$Q$401,$V19))</f>
        <v/>
      </c>
      <c r="E19" s="2">
        <f>IF($V19="","",IF(INDEX($S$2:$S$401,$V19)&lt;&gt;"",INDEX($S$2:$S$401,$V19),IF(INDEX($R$2:$R$401,$V19)&lt;$B$2,"Vencida",IF(INDEX($R$2:$R$401,$V19)=$B$2,"Hoy","Programada"))))</f>
        <v/>
      </c>
      <c r="P19" s="26" t="n">
        <v>2</v>
      </c>
      <c r="Q19" s="26" t="n">
        <v>8</v>
      </c>
      <c r="R19" s="26">
        <f>INDEX(Progreso!$AZ$2:$BI$41,$P19,$Q19)</f>
        <v/>
      </c>
      <c r="S19" s="18">
        <f>IF(INDEX(Progreso!$AB$2:$AK$41,$P19,$Q19)=0,"",INDEX(Progreso!$AB$2:$AK$41,$P19,$Q19))</f>
        <v/>
      </c>
      <c r="T19" s="26">
        <f>IF($R19=0,"",COUNTIFS($R$2:$R$401,"&gt;0",$R$2:$R$401,"&lt;"&amp;$R19)+COUNTIFS($R$2:R19,"="&amp;$R19))</f>
        <v/>
      </c>
      <c r="V19" s="26">
        <f>IFERROR(MATCH(ROW()-ROW($V$12),$T$2:$T$401,0),"")</f>
        <v/>
      </c>
    </row>
    <row r="20" ht="22.5" customHeight="1">
      <c r="A20" s="85">
        <f>IF($V20="","",INDEX($R$2:$R$401,$V20))</f>
        <v/>
      </c>
      <c r="B20" s="4">
        <f>IF($V20="","",INDEX(DIAS_SEMANA,WEEKDAY(INDEX($R$2:$R$401,$V20),2)))</f>
        <v/>
      </c>
      <c r="C20" s="4">
        <f>IF($V20="","","Tema "&amp;INDEX($P$2:$P$401,$V20))</f>
        <v/>
      </c>
      <c r="D20" s="70">
        <f>IF($V20="","",INDEX($Q$2:$Q$401,$V20))</f>
        <v/>
      </c>
      <c r="E20" s="4">
        <f>IF($V20="","",IF(INDEX($S$2:$S$401,$V20)&lt;&gt;"",INDEX($S$2:$S$401,$V20),IF(INDEX($R$2:$R$401,$V20)&lt;$B$2,"Vencida",IF(INDEX($R$2:$R$401,$V20)=$B$2,"Hoy","Programada"))))</f>
        <v/>
      </c>
      <c r="P20" s="26" t="n">
        <v>2</v>
      </c>
      <c r="Q20" s="26" t="n">
        <v>9</v>
      </c>
      <c r="R20" s="26">
        <f>INDEX(Progreso!$AZ$2:$BI$41,$P20,$Q20)</f>
        <v/>
      </c>
      <c r="S20" s="18">
        <f>IF(INDEX(Progreso!$AB$2:$AK$41,$P20,$Q20)=0,"",INDEX(Progreso!$AB$2:$AK$41,$P20,$Q20))</f>
        <v/>
      </c>
      <c r="T20" s="26">
        <f>IF($R20=0,"",COUNTIFS($R$2:$R$401,"&gt;0",$R$2:$R$401,"&lt;"&amp;$R20)+COUNTIFS($R$2:R20,"="&amp;$R20))</f>
        <v/>
      </c>
      <c r="V20" s="26">
        <f>IFERROR(MATCH(ROW()-ROW($V$12),$T$2:$T$401,0),"")</f>
        <v/>
      </c>
    </row>
    <row r="21" ht="22.5" customHeight="1">
      <c r="A21" s="78">
        <f>IF($V21="","",INDEX($R$2:$R$401,$V21))</f>
        <v/>
      </c>
      <c r="B21" s="2">
        <f>IF($V21="","",INDEX(DIAS_SEMANA,WEEKDAY(INDEX($R$2:$R$401,$V21),2)))</f>
        <v/>
      </c>
      <c r="C21" s="2">
        <f>IF($V21="","","Tema "&amp;INDEX($P$2:$P$401,$V21))</f>
        <v/>
      </c>
      <c r="D21" s="69">
        <f>IF($V21="","",INDEX($Q$2:$Q$401,$V21))</f>
        <v/>
      </c>
      <c r="E21" s="2">
        <f>IF($V21="","",IF(INDEX($S$2:$S$401,$V21)&lt;&gt;"",INDEX($S$2:$S$401,$V21),IF(INDEX($R$2:$R$401,$V21)&lt;$B$2,"Vencida",IF(INDEX($R$2:$R$401,$V21)=$B$2,"Hoy","Programada"))))</f>
        <v/>
      </c>
      <c r="P21" s="26" t="n">
        <v>2</v>
      </c>
      <c r="Q21" s="26" t="n">
        <v>10</v>
      </c>
      <c r="R21" s="26">
        <f>INDEX(Progreso!$AZ$2:$BI$41,$P21,$Q21)</f>
        <v/>
      </c>
      <c r="S21" s="18">
        <f>IF(INDEX(Progreso!$AB$2:$AK$41,$P21,$Q21)=0,"",INDEX(Progreso!$AB$2:$AK$41,$P21,$Q21))</f>
        <v/>
      </c>
      <c r="T21" s="26">
        <f>IF($R21=0,"",COUNTIFS($R$2:$R$401,"&gt;0",$R$2:$R$401,"&lt;"&amp;$R21)+COUNTIFS($R$2:R21,"="&amp;$R21))</f>
        <v/>
      </c>
      <c r="V21" s="26">
        <f>IFERROR(MATCH(ROW()-ROW($V$12),$T$2:$T$401,0),"")</f>
        <v/>
      </c>
    </row>
    <row r="22" ht="22.5" customHeight="1">
      <c r="A22" s="85">
        <f>IF($V22="","",INDEX($R$2:$R$401,$V22))</f>
        <v/>
      </c>
      <c r="B22" s="4">
        <f>IF($V22="","",INDEX(DIAS_SEMANA,WEEKDAY(INDEX($R$2:$R$401,$V22),2)))</f>
        <v/>
      </c>
      <c r="C22" s="4">
        <f>IF($V22="","","Tema "&amp;INDEX($P$2:$P$401,$V22))</f>
        <v/>
      </c>
      <c r="D22" s="70">
        <f>IF($V22="","",INDEX($Q$2:$Q$401,$V22))</f>
        <v/>
      </c>
      <c r="E22" s="4">
        <f>IF($V22="","",IF(INDEX($S$2:$S$401,$V22)&lt;&gt;"",INDEX($S$2:$S$401,$V22),IF(INDEX($R$2:$R$401,$V22)&lt;$B$2,"Vencida",IF(INDEX($R$2:$R$401,$V22)=$B$2,"Hoy","Programada"))))</f>
        <v/>
      </c>
      <c r="P22" s="26" t="n">
        <v>3</v>
      </c>
      <c r="Q22" s="26" t="n">
        <v>1</v>
      </c>
      <c r="R22" s="26">
        <f>INDEX(Progreso!$AZ$2:$BI$41,$P22,$Q22)</f>
        <v/>
      </c>
      <c r="S22" s="18">
        <f>IF(INDEX(Progreso!$AB$2:$AK$41,$P22,$Q22)=0,"",INDEX(Progreso!$AB$2:$AK$41,$P22,$Q22))</f>
        <v/>
      </c>
      <c r="T22" s="26">
        <f>IF($R22=0,"",COUNTIFS($R$2:$R$401,"&gt;0",$R$2:$R$401,"&lt;"&amp;$R22)+COUNTIFS($R$2:R22,"="&amp;$R22))</f>
        <v/>
      </c>
      <c r="V22" s="26">
        <f>IFERROR(MATCH(ROW()-ROW($V$12),$T$2:$T$401,0),"")</f>
        <v/>
      </c>
    </row>
    <row r="23" ht="22.5" customHeight="1">
      <c r="A23" s="78">
        <f>IF($V23="","",INDEX($R$2:$R$401,$V23))</f>
        <v/>
      </c>
      <c r="B23" s="2">
        <f>IF($V23="","",INDEX(DIAS_SEMANA,WEEKDAY(INDEX($R$2:$R$401,$V23),2)))</f>
        <v/>
      </c>
      <c r="C23" s="2">
        <f>IF($V23="","","Tema "&amp;INDEX($P$2:$P$401,$V23))</f>
        <v/>
      </c>
      <c r="D23" s="69">
        <f>IF($V23="","",INDEX($Q$2:$Q$401,$V23))</f>
        <v/>
      </c>
      <c r="E23" s="2">
        <f>IF($V23="","",IF(INDEX($S$2:$S$401,$V23)&lt;&gt;"",INDEX($S$2:$S$401,$V23),IF(INDEX($R$2:$R$401,$V23)&lt;$B$2,"Vencida",IF(INDEX($R$2:$R$401,$V23)=$B$2,"Hoy","Programada"))))</f>
        <v/>
      </c>
      <c r="P23" s="26" t="n">
        <v>3</v>
      </c>
      <c r="Q23" s="26" t="n">
        <v>2</v>
      </c>
      <c r="R23" s="26">
        <f>INDEX(Progreso!$AZ$2:$BI$41,$P23,$Q23)</f>
        <v/>
      </c>
      <c r="S23" s="18">
        <f>IF(INDEX(Progreso!$AB$2:$AK$41,$P23,$Q23)=0,"",INDEX(Progreso!$AB$2:$AK$41,$P23,$Q23))</f>
        <v/>
      </c>
      <c r="T23" s="26">
        <f>IF($R23=0,"",COUNTIFS($R$2:$R$401,"&gt;0",$R$2:$R$401,"&lt;"&amp;$R23)+COUNTIFS($R$2:R23,"="&amp;$R23))</f>
        <v/>
      </c>
      <c r="V23" s="26">
        <f>IFERROR(MATCH(ROW()-ROW($V$12),$T$2:$T$401,0),"")</f>
        <v/>
      </c>
    </row>
    <row r="24" ht="22.5" customHeight="1">
      <c r="A24" s="85">
        <f>IF($V24="","",INDEX($R$2:$R$401,$V24))</f>
        <v/>
      </c>
      <c r="B24" s="4">
        <f>IF($V24="","",INDEX(DIAS_SEMANA,WEEKDAY(INDEX($R$2:$R$401,$V24),2)))</f>
        <v/>
      </c>
      <c r="C24" s="4">
        <f>IF($V24="","","Tema "&amp;INDEX($P$2:$P$401,$V24))</f>
        <v/>
      </c>
      <c r="D24" s="70">
        <f>IF($V24="","",INDEX($Q$2:$Q$401,$V24))</f>
        <v/>
      </c>
      <c r="E24" s="4">
        <f>IF($V24="","",IF(INDEX($S$2:$S$401,$V24)&lt;&gt;"",INDEX($S$2:$S$401,$V24),IF(INDEX($R$2:$R$401,$V24)&lt;$B$2,"Vencida",IF(INDEX($R$2:$R$401,$V24)=$B$2,"Hoy","Programada"))))</f>
        <v/>
      </c>
      <c r="P24" s="26" t="n">
        <v>3</v>
      </c>
      <c r="Q24" s="26" t="n">
        <v>3</v>
      </c>
      <c r="R24" s="26">
        <f>INDEX(Progreso!$AZ$2:$BI$41,$P24,$Q24)</f>
        <v/>
      </c>
      <c r="S24" s="18">
        <f>IF(INDEX(Progreso!$AB$2:$AK$41,$P24,$Q24)=0,"",INDEX(Progreso!$AB$2:$AK$41,$P24,$Q24))</f>
        <v/>
      </c>
      <c r="T24" s="26">
        <f>IF($R24=0,"",COUNTIFS($R$2:$R$401,"&gt;0",$R$2:$R$401,"&lt;"&amp;$R24)+COUNTIFS($R$2:R24,"="&amp;$R24))</f>
        <v/>
      </c>
      <c r="V24" s="26">
        <f>IFERROR(MATCH(ROW()-ROW($V$12),$T$2:$T$401,0),"")</f>
        <v/>
      </c>
    </row>
    <row r="25" ht="22.5" customHeight="1">
      <c r="A25" s="78">
        <f>IF($V25="","",INDEX($R$2:$R$401,$V25))</f>
        <v/>
      </c>
      <c r="B25" s="2">
        <f>IF($V25="","",INDEX(DIAS_SEMANA,WEEKDAY(INDEX($R$2:$R$401,$V25),2)))</f>
        <v/>
      </c>
      <c r="C25" s="2">
        <f>IF($V25="","","Tema "&amp;INDEX($P$2:$P$401,$V25))</f>
        <v/>
      </c>
      <c r="D25" s="69">
        <f>IF($V25="","",INDEX($Q$2:$Q$401,$V25))</f>
        <v/>
      </c>
      <c r="E25" s="2">
        <f>IF($V25="","",IF(INDEX($S$2:$S$401,$V25)&lt;&gt;"",INDEX($S$2:$S$401,$V25),IF(INDEX($R$2:$R$401,$V25)&lt;$B$2,"Vencida",IF(INDEX($R$2:$R$401,$V25)=$B$2,"Hoy","Programada"))))</f>
        <v/>
      </c>
      <c r="P25" s="26" t="n">
        <v>3</v>
      </c>
      <c r="Q25" s="26" t="n">
        <v>4</v>
      </c>
      <c r="R25" s="26">
        <f>INDEX(Progreso!$AZ$2:$BI$41,$P25,$Q25)</f>
        <v/>
      </c>
      <c r="S25" s="18">
        <f>IF(INDEX(Progreso!$AB$2:$AK$41,$P25,$Q25)=0,"",INDEX(Progreso!$AB$2:$AK$41,$P25,$Q25))</f>
        <v/>
      </c>
      <c r="T25" s="26">
        <f>IF($R25=0,"",COUNTIFS($R$2:$R$401,"&gt;0",$R$2:$R$401,"&lt;"&amp;$R25)+COUNTIFS($R$2:R25,"="&amp;$R25))</f>
        <v/>
      </c>
      <c r="V25" s="26">
        <f>IFERROR(MATCH(ROW()-ROW($V$12),$T$2:$T$401,0),"")</f>
        <v/>
      </c>
    </row>
    <row r="26" ht="22.5" customHeight="1">
      <c r="A26" s="85">
        <f>IF($V26="","",INDEX($R$2:$R$401,$V26))</f>
        <v/>
      </c>
      <c r="B26" s="4">
        <f>IF($V26="","",INDEX(DIAS_SEMANA,WEEKDAY(INDEX($R$2:$R$401,$V26),2)))</f>
        <v/>
      </c>
      <c r="C26" s="4">
        <f>IF($V26="","","Tema "&amp;INDEX($P$2:$P$401,$V26))</f>
        <v/>
      </c>
      <c r="D26" s="70">
        <f>IF($V26="","",INDEX($Q$2:$Q$401,$V26))</f>
        <v/>
      </c>
      <c r="E26" s="4">
        <f>IF($V26="","",IF(INDEX($S$2:$S$401,$V26)&lt;&gt;"",INDEX($S$2:$S$401,$V26),IF(INDEX($R$2:$R$401,$V26)&lt;$B$2,"Vencida",IF(INDEX($R$2:$R$401,$V26)=$B$2,"Hoy","Programada"))))</f>
        <v/>
      </c>
      <c r="P26" s="26" t="n">
        <v>3</v>
      </c>
      <c r="Q26" s="26" t="n">
        <v>5</v>
      </c>
      <c r="R26" s="26">
        <f>INDEX(Progreso!$AZ$2:$BI$41,$P26,$Q26)</f>
        <v/>
      </c>
      <c r="S26" s="18">
        <f>IF(INDEX(Progreso!$AB$2:$AK$41,$P26,$Q26)=0,"",INDEX(Progreso!$AB$2:$AK$41,$P26,$Q26))</f>
        <v/>
      </c>
      <c r="T26" s="26">
        <f>IF($R26=0,"",COUNTIFS($R$2:$R$401,"&gt;0",$R$2:$R$401,"&lt;"&amp;$R26)+COUNTIFS($R$2:R26,"="&amp;$R26))</f>
        <v/>
      </c>
      <c r="V26" s="26">
        <f>IFERROR(MATCH(ROW()-ROW($V$12),$T$2:$T$401,0),"")</f>
        <v/>
      </c>
    </row>
    <row r="27" ht="22.5" customHeight="1">
      <c r="A27" s="78">
        <f>IF($V27="","",INDEX($R$2:$R$401,$V27))</f>
        <v/>
      </c>
      <c r="B27" s="2">
        <f>IF($V27="","",INDEX(DIAS_SEMANA,WEEKDAY(INDEX($R$2:$R$401,$V27),2)))</f>
        <v/>
      </c>
      <c r="C27" s="2">
        <f>IF($V27="","","Tema "&amp;INDEX($P$2:$P$401,$V27))</f>
        <v/>
      </c>
      <c r="D27" s="69">
        <f>IF($V27="","",INDEX($Q$2:$Q$401,$V27))</f>
        <v/>
      </c>
      <c r="E27" s="2">
        <f>IF($V27="","",IF(INDEX($S$2:$S$401,$V27)&lt;&gt;"",INDEX($S$2:$S$401,$V27),IF(INDEX($R$2:$R$401,$V27)&lt;$B$2,"Vencida",IF(INDEX($R$2:$R$401,$V27)=$B$2,"Hoy","Programada"))))</f>
        <v/>
      </c>
      <c r="P27" s="26" t="n">
        <v>3</v>
      </c>
      <c r="Q27" s="26" t="n">
        <v>6</v>
      </c>
      <c r="R27" s="26">
        <f>INDEX(Progreso!$AZ$2:$BI$41,$P27,$Q27)</f>
        <v/>
      </c>
      <c r="S27" s="18">
        <f>IF(INDEX(Progreso!$AB$2:$AK$41,$P27,$Q27)=0,"",INDEX(Progreso!$AB$2:$AK$41,$P27,$Q27))</f>
        <v/>
      </c>
      <c r="T27" s="26">
        <f>IF($R27=0,"",COUNTIFS($R$2:$R$401,"&gt;0",$R$2:$R$401,"&lt;"&amp;$R27)+COUNTIFS($R$2:R27,"="&amp;$R27))</f>
        <v/>
      </c>
      <c r="V27" s="26">
        <f>IFERROR(MATCH(ROW()-ROW($V$12),$T$2:$T$401,0),"")</f>
        <v/>
      </c>
    </row>
    <row r="28" ht="22.5" customHeight="1">
      <c r="A28" s="85">
        <f>IF($V28="","",INDEX($R$2:$R$401,$V28))</f>
        <v/>
      </c>
      <c r="B28" s="4">
        <f>IF($V28="","",INDEX(DIAS_SEMANA,WEEKDAY(INDEX($R$2:$R$401,$V28),2)))</f>
        <v/>
      </c>
      <c r="C28" s="4">
        <f>IF($V28="","","Tema "&amp;INDEX($P$2:$P$401,$V28))</f>
        <v/>
      </c>
      <c r="D28" s="70">
        <f>IF($V28="","",INDEX($Q$2:$Q$401,$V28))</f>
        <v/>
      </c>
      <c r="E28" s="4">
        <f>IF($V28="","",IF(INDEX($S$2:$S$401,$V28)&lt;&gt;"",INDEX($S$2:$S$401,$V28),IF(INDEX($R$2:$R$401,$V28)&lt;$B$2,"Vencida",IF(INDEX($R$2:$R$401,$V28)=$B$2,"Hoy","Programada"))))</f>
        <v/>
      </c>
      <c r="P28" s="26" t="n">
        <v>3</v>
      </c>
      <c r="Q28" s="26" t="n">
        <v>7</v>
      </c>
      <c r="R28" s="26">
        <f>INDEX(Progreso!$AZ$2:$BI$41,$P28,$Q28)</f>
        <v/>
      </c>
      <c r="S28" s="18">
        <f>IF(INDEX(Progreso!$AB$2:$AK$41,$P28,$Q28)=0,"",INDEX(Progreso!$AB$2:$AK$41,$P28,$Q28))</f>
        <v/>
      </c>
      <c r="T28" s="26">
        <f>IF($R28=0,"",COUNTIFS($R$2:$R$401,"&gt;0",$R$2:$R$401,"&lt;"&amp;$R28)+COUNTIFS($R$2:R28,"="&amp;$R28))</f>
        <v/>
      </c>
      <c r="V28" s="26">
        <f>IFERROR(MATCH(ROW()-ROW($V$12),$T$2:$T$401,0),"")</f>
        <v/>
      </c>
    </row>
    <row r="29" ht="22.5" customHeight="1">
      <c r="A29" s="78">
        <f>IF($V29="","",INDEX($R$2:$R$401,$V29))</f>
        <v/>
      </c>
      <c r="B29" s="2">
        <f>IF($V29="","",INDEX(DIAS_SEMANA,WEEKDAY(INDEX($R$2:$R$401,$V29),2)))</f>
        <v/>
      </c>
      <c r="C29" s="2">
        <f>IF($V29="","","Tema "&amp;INDEX($P$2:$P$401,$V29))</f>
        <v/>
      </c>
      <c r="D29" s="69">
        <f>IF($V29="","",INDEX($Q$2:$Q$401,$V29))</f>
        <v/>
      </c>
      <c r="E29" s="2">
        <f>IF($V29="","",IF(INDEX($S$2:$S$401,$V29)&lt;&gt;"",INDEX($S$2:$S$401,$V29),IF(INDEX($R$2:$R$401,$V29)&lt;$B$2,"Vencida",IF(INDEX($R$2:$R$401,$V29)=$B$2,"Hoy","Programada"))))</f>
        <v/>
      </c>
      <c r="P29" s="26" t="n">
        <v>3</v>
      </c>
      <c r="Q29" s="26" t="n">
        <v>8</v>
      </c>
      <c r="R29" s="26">
        <f>INDEX(Progreso!$AZ$2:$BI$41,$P29,$Q29)</f>
        <v/>
      </c>
      <c r="S29" s="18">
        <f>IF(INDEX(Progreso!$AB$2:$AK$41,$P29,$Q29)=0,"",INDEX(Progreso!$AB$2:$AK$41,$P29,$Q29))</f>
        <v/>
      </c>
      <c r="T29" s="26">
        <f>IF($R29=0,"",COUNTIFS($R$2:$R$401,"&gt;0",$R$2:$R$401,"&lt;"&amp;$R29)+COUNTIFS($R$2:R29,"="&amp;$R29))</f>
        <v/>
      </c>
      <c r="V29" s="26">
        <f>IFERROR(MATCH(ROW()-ROW($V$12),$T$2:$T$401,0),"")</f>
        <v/>
      </c>
    </row>
    <row r="30" ht="22.5" customHeight="1">
      <c r="A30" s="85">
        <f>IF($V30="","",INDEX($R$2:$R$401,$V30))</f>
        <v/>
      </c>
      <c r="B30" s="4">
        <f>IF($V30="","",INDEX(DIAS_SEMANA,WEEKDAY(INDEX($R$2:$R$401,$V30),2)))</f>
        <v/>
      </c>
      <c r="C30" s="4">
        <f>IF($V30="","","Tema "&amp;INDEX($P$2:$P$401,$V30))</f>
        <v/>
      </c>
      <c r="D30" s="70">
        <f>IF($V30="","",INDEX($Q$2:$Q$401,$V30))</f>
        <v/>
      </c>
      <c r="E30" s="4">
        <f>IF($V30="","",IF(INDEX($S$2:$S$401,$V30)&lt;&gt;"",INDEX($S$2:$S$401,$V30),IF(INDEX($R$2:$R$401,$V30)&lt;$B$2,"Vencida",IF(INDEX($R$2:$R$401,$V30)=$B$2,"Hoy","Programada"))))</f>
        <v/>
      </c>
      <c r="P30" s="26" t="n">
        <v>3</v>
      </c>
      <c r="Q30" s="26" t="n">
        <v>9</v>
      </c>
      <c r="R30" s="26">
        <f>INDEX(Progreso!$AZ$2:$BI$41,$P30,$Q30)</f>
        <v/>
      </c>
      <c r="S30" s="18">
        <f>IF(INDEX(Progreso!$AB$2:$AK$41,$P30,$Q30)=0,"",INDEX(Progreso!$AB$2:$AK$41,$P30,$Q30))</f>
        <v/>
      </c>
      <c r="T30" s="26">
        <f>IF($R30=0,"",COUNTIFS($R$2:$R$401,"&gt;0",$R$2:$R$401,"&lt;"&amp;$R30)+COUNTIFS($R$2:R30,"="&amp;$R30))</f>
        <v/>
      </c>
      <c r="V30" s="26">
        <f>IFERROR(MATCH(ROW()-ROW($V$12),$T$2:$T$401,0),"")</f>
        <v/>
      </c>
    </row>
    <row r="31" ht="22.5" customHeight="1">
      <c r="A31" s="78">
        <f>IF($V31="","",INDEX($R$2:$R$401,$V31))</f>
        <v/>
      </c>
      <c r="B31" s="2">
        <f>IF($V31="","",INDEX(DIAS_SEMANA,WEEKDAY(INDEX($R$2:$R$401,$V31),2)))</f>
        <v/>
      </c>
      <c r="C31" s="2">
        <f>IF($V31="","","Tema "&amp;INDEX($P$2:$P$401,$V31))</f>
        <v/>
      </c>
      <c r="D31" s="69">
        <f>IF($V31="","",INDEX($Q$2:$Q$401,$V31))</f>
        <v/>
      </c>
      <c r="E31" s="2">
        <f>IF($V31="","",IF(INDEX($S$2:$S$401,$V31)&lt;&gt;"",INDEX($S$2:$S$401,$V31),IF(INDEX($R$2:$R$401,$V31)&lt;$B$2,"Vencida",IF(INDEX($R$2:$R$401,$V31)=$B$2,"Hoy","Programada"))))</f>
        <v/>
      </c>
      <c r="P31" s="26" t="n">
        <v>3</v>
      </c>
      <c r="Q31" s="26" t="n">
        <v>10</v>
      </c>
      <c r="R31" s="26">
        <f>INDEX(Progreso!$AZ$2:$BI$41,$P31,$Q31)</f>
        <v/>
      </c>
      <c r="S31" s="18">
        <f>IF(INDEX(Progreso!$AB$2:$AK$41,$P31,$Q31)=0,"",INDEX(Progreso!$AB$2:$AK$41,$P31,$Q31))</f>
        <v/>
      </c>
      <c r="T31" s="26">
        <f>IF($R31=0,"",COUNTIFS($R$2:$R$401,"&gt;0",$R$2:$R$401,"&lt;"&amp;$R31)+COUNTIFS($R$2:R31,"="&amp;$R31))</f>
        <v/>
      </c>
      <c r="V31" s="26">
        <f>IFERROR(MATCH(ROW()-ROW($V$12),$T$2:$T$401,0),"")</f>
        <v/>
      </c>
    </row>
    <row r="32" ht="22.5" customHeight="1">
      <c r="A32" s="85">
        <f>IF($V32="","",INDEX($R$2:$R$401,$V32))</f>
        <v/>
      </c>
      <c r="B32" s="4">
        <f>IF($V32="","",INDEX(DIAS_SEMANA,WEEKDAY(INDEX($R$2:$R$401,$V32),2)))</f>
        <v/>
      </c>
      <c r="C32" s="4">
        <f>IF($V32="","","Tema "&amp;INDEX($P$2:$P$401,$V32))</f>
        <v/>
      </c>
      <c r="D32" s="70">
        <f>IF($V32="","",INDEX($Q$2:$Q$401,$V32))</f>
        <v/>
      </c>
      <c r="E32" s="4">
        <f>IF($V32="","",IF(INDEX($S$2:$S$401,$V32)&lt;&gt;"",INDEX($S$2:$S$401,$V32),IF(INDEX($R$2:$R$401,$V32)&lt;$B$2,"Vencida",IF(INDEX($R$2:$R$401,$V32)=$B$2,"Hoy","Programada"))))</f>
        <v/>
      </c>
      <c r="P32" s="26" t="n">
        <v>4</v>
      </c>
      <c r="Q32" s="26" t="n">
        <v>1</v>
      </c>
      <c r="R32" s="26">
        <f>INDEX(Progreso!$AZ$2:$BI$41,$P32,$Q32)</f>
        <v/>
      </c>
      <c r="S32" s="18">
        <f>IF(INDEX(Progreso!$AB$2:$AK$41,$P32,$Q32)=0,"",INDEX(Progreso!$AB$2:$AK$41,$P32,$Q32))</f>
        <v/>
      </c>
      <c r="T32" s="26">
        <f>IF($R32=0,"",COUNTIFS($R$2:$R$401,"&gt;0",$R$2:$R$401,"&lt;"&amp;$R32)+COUNTIFS($R$2:R32,"="&amp;$R32))</f>
        <v/>
      </c>
      <c r="V32" s="26">
        <f>IFERROR(MATCH(ROW()-ROW($V$12),$T$2:$T$401,0),"")</f>
        <v/>
      </c>
    </row>
    <row r="33" ht="22.5" customHeight="1">
      <c r="A33" s="78">
        <f>IF($V33="","",INDEX($R$2:$R$401,$V33))</f>
        <v/>
      </c>
      <c r="B33" s="2">
        <f>IF($V33="","",INDEX(DIAS_SEMANA,WEEKDAY(INDEX($R$2:$R$401,$V33),2)))</f>
        <v/>
      </c>
      <c r="C33" s="2">
        <f>IF($V33="","","Tema "&amp;INDEX($P$2:$P$401,$V33))</f>
        <v/>
      </c>
      <c r="D33" s="69">
        <f>IF($V33="","",INDEX($Q$2:$Q$401,$V33))</f>
        <v/>
      </c>
      <c r="E33" s="2">
        <f>IF($V33="","",IF(INDEX($S$2:$S$401,$V33)&lt;&gt;"",INDEX($S$2:$S$401,$V33),IF(INDEX($R$2:$R$401,$V33)&lt;$B$2,"Vencida",IF(INDEX($R$2:$R$401,$V33)=$B$2,"Hoy","Programada"))))</f>
        <v/>
      </c>
      <c r="P33" s="26" t="n">
        <v>4</v>
      </c>
      <c r="Q33" s="26" t="n">
        <v>2</v>
      </c>
      <c r="R33" s="26">
        <f>INDEX(Progreso!$AZ$2:$BI$41,$P33,$Q33)</f>
        <v/>
      </c>
      <c r="S33" s="18">
        <f>IF(INDEX(Progreso!$AB$2:$AK$41,$P33,$Q33)=0,"",INDEX(Progreso!$AB$2:$AK$41,$P33,$Q33))</f>
        <v/>
      </c>
      <c r="T33" s="26">
        <f>IF($R33=0,"",COUNTIFS($R$2:$R$401,"&gt;0",$R$2:$R$401,"&lt;"&amp;$R33)+COUNTIFS($R$2:R33,"="&amp;$R33))</f>
        <v/>
      </c>
      <c r="V33" s="26">
        <f>IFERROR(MATCH(ROW()-ROW($V$12),$T$2:$T$401,0),"")</f>
        <v/>
      </c>
    </row>
    <row r="34" ht="22.5" customHeight="1">
      <c r="A34" s="85">
        <f>IF($V34="","",INDEX($R$2:$R$401,$V34))</f>
        <v/>
      </c>
      <c r="B34" s="4">
        <f>IF($V34="","",INDEX(DIAS_SEMANA,WEEKDAY(INDEX($R$2:$R$401,$V34),2)))</f>
        <v/>
      </c>
      <c r="C34" s="4">
        <f>IF($V34="","","Tema "&amp;INDEX($P$2:$P$401,$V34))</f>
        <v/>
      </c>
      <c r="D34" s="70">
        <f>IF($V34="","",INDEX($Q$2:$Q$401,$V34))</f>
        <v/>
      </c>
      <c r="E34" s="4">
        <f>IF($V34="","",IF(INDEX($S$2:$S$401,$V34)&lt;&gt;"",INDEX($S$2:$S$401,$V34),IF(INDEX($R$2:$R$401,$V34)&lt;$B$2,"Vencida",IF(INDEX($R$2:$R$401,$V34)=$B$2,"Hoy","Programada"))))</f>
        <v/>
      </c>
      <c r="P34" s="26" t="n">
        <v>4</v>
      </c>
      <c r="Q34" s="26" t="n">
        <v>3</v>
      </c>
      <c r="R34" s="26">
        <f>INDEX(Progreso!$AZ$2:$BI$41,$P34,$Q34)</f>
        <v/>
      </c>
      <c r="S34" s="18">
        <f>IF(INDEX(Progreso!$AB$2:$AK$41,$P34,$Q34)=0,"",INDEX(Progreso!$AB$2:$AK$41,$P34,$Q34))</f>
        <v/>
      </c>
      <c r="T34" s="26">
        <f>IF($R34=0,"",COUNTIFS($R$2:$R$401,"&gt;0",$R$2:$R$401,"&lt;"&amp;$R34)+COUNTIFS($R$2:R34,"="&amp;$R34))</f>
        <v/>
      </c>
      <c r="V34" s="26">
        <f>IFERROR(MATCH(ROW()-ROW($V$12),$T$2:$T$401,0),"")</f>
        <v/>
      </c>
    </row>
    <row r="35" ht="22.5" customHeight="1">
      <c r="A35" s="78">
        <f>IF($V35="","",INDEX($R$2:$R$401,$V35))</f>
        <v/>
      </c>
      <c r="B35" s="2">
        <f>IF($V35="","",INDEX(DIAS_SEMANA,WEEKDAY(INDEX($R$2:$R$401,$V35),2)))</f>
        <v/>
      </c>
      <c r="C35" s="2">
        <f>IF($V35="","","Tema "&amp;INDEX($P$2:$P$401,$V35))</f>
        <v/>
      </c>
      <c r="D35" s="69">
        <f>IF($V35="","",INDEX($Q$2:$Q$401,$V35))</f>
        <v/>
      </c>
      <c r="E35" s="2">
        <f>IF($V35="","",IF(INDEX($S$2:$S$401,$V35)&lt;&gt;"",INDEX($S$2:$S$401,$V35),IF(INDEX($R$2:$R$401,$V35)&lt;$B$2,"Vencida",IF(INDEX($R$2:$R$401,$V35)=$B$2,"Hoy","Programada"))))</f>
        <v/>
      </c>
      <c r="P35" s="26" t="n">
        <v>4</v>
      </c>
      <c r="Q35" s="26" t="n">
        <v>4</v>
      </c>
      <c r="R35" s="26">
        <f>INDEX(Progreso!$AZ$2:$BI$41,$P35,$Q35)</f>
        <v/>
      </c>
      <c r="S35" s="18">
        <f>IF(INDEX(Progreso!$AB$2:$AK$41,$P35,$Q35)=0,"",INDEX(Progreso!$AB$2:$AK$41,$P35,$Q35))</f>
        <v/>
      </c>
      <c r="T35" s="26">
        <f>IF($R35=0,"",COUNTIFS($R$2:$R$401,"&gt;0",$R$2:$R$401,"&lt;"&amp;$R35)+COUNTIFS($R$2:R35,"="&amp;$R35))</f>
        <v/>
      </c>
      <c r="V35" s="26">
        <f>IFERROR(MATCH(ROW()-ROW($V$12),$T$2:$T$401,0),"")</f>
        <v/>
      </c>
    </row>
    <row r="36" ht="22.5" customHeight="1">
      <c r="A36" s="85">
        <f>IF($V36="","",INDEX($R$2:$R$401,$V36))</f>
        <v/>
      </c>
      <c r="B36" s="4">
        <f>IF($V36="","",INDEX(DIAS_SEMANA,WEEKDAY(INDEX($R$2:$R$401,$V36),2)))</f>
        <v/>
      </c>
      <c r="C36" s="4">
        <f>IF($V36="","","Tema "&amp;INDEX($P$2:$P$401,$V36))</f>
        <v/>
      </c>
      <c r="D36" s="70">
        <f>IF($V36="","",INDEX($Q$2:$Q$401,$V36))</f>
        <v/>
      </c>
      <c r="E36" s="4">
        <f>IF($V36="","",IF(INDEX($S$2:$S$401,$V36)&lt;&gt;"",INDEX($S$2:$S$401,$V36),IF(INDEX($R$2:$R$401,$V36)&lt;$B$2,"Vencida",IF(INDEX($R$2:$R$401,$V36)=$B$2,"Hoy","Programada"))))</f>
        <v/>
      </c>
      <c r="P36" s="26" t="n">
        <v>4</v>
      </c>
      <c r="Q36" s="26" t="n">
        <v>5</v>
      </c>
      <c r="R36" s="26">
        <f>INDEX(Progreso!$AZ$2:$BI$41,$P36,$Q36)</f>
        <v/>
      </c>
      <c r="S36" s="18">
        <f>IF(INDEX(Progreso!$AB$2:$AK$41,$P36,$Q36)=0,"",INDEX(Progreso!$AB$2:$AK$41,$P36,$Q36))</f>
        <v/>
      </c>
      <c r="T36" s="26">
        <f>IF($R36=0,"",COUNTIFS($R$2:$R$401,"&gt;0",$R$2:$R$401,"&lt;"&amp;$R36)+COUNTIFS($R$2:R36,"="&amp;$R36))</f>
        <v/>
      </c>
      <c r="V36" s="26">
        <f>IFERROR(MATCH(ROW()-ROW($V$12),$T$2:$T$401,0),"")</f>
        <v/>
      </c>
    </row>
    <row r="37" ht="22.5" customHeight="1">
      <c r="A37" s="78">
        <f>IF($V37="","",INDEX($R$2:$R$401,$V37))</f>
        <v/>
      </c>
      <c r="B37" s="2">
        <f>IF($V37="","",INDEX(DIAS_SEMANA,WEEKDAY(INDEX($R$2:$R$401,$V37),2)))</f>
        <v/>
      </c>
      <c r="C37" s="2">
        <f>IF($V37="","","Tema "&amp;INDEX($P$2:$P$401,$V37))</f>
        <v/>
      </c>
      <c r="D37" s="69">
        <f>IF($V37="","",INDEX($Q$2:$Q$401,$V37))</f>
        <v/>
      </c>
      <c r="E37" s="2">
        <f>IF($V37="","",IF(INDEX($S$2:$S$401,$V37)&lt;&gt;"",INDEX($S$2:$S$401,$V37),IF(INDEX($R$2:$R$401,$V37)&lt;$B$2,"Vencida",IF(INDEX($R$2:$R$401,$V37)=$B$2,"Hoy","Programada"))))</f>
        <v/>
      </c>
      <c r="P37" s="26" t="n">
        <v>4</v>
      </c>
      <c r="Q37" s="26" t="n">
        <v>6</v>
      </c>
      <c r="R37" s="26">
        <f>INDEX(Progreso!$AZ$2:$BI$41,$P37,$Q37)</f>
        <v/>
      </c>
      <c r="S37" s="18">
        <f>IF(INDEX(Progreso!$AB$2:$AK$41,$P37,$Q37)=0,"",INDEX(Progreso!$AB$2:$AK$41,$P37,$Q37))</f>
        <v/>
      </c>
      <c r="T37" s="26">
        <f>IF($R37=0,"",COUNTIFS($R$2:$R$401,"&gt;0",$R$2:$R$401,"&lt;"&amp;$R37)+COUNTIFS($R$2:R37,"="&amp;$R37))</f>
        <v/>
      </c>
      <c r="V37" s="26">
        <f>IFERROR(MATCH(ROW()-ROW($V$12),$T$2:$T$401,0),"")</f>
        <v/>
      </c>
    </row>
    <row r="38" ht="22.5" customHeight="1">
      <c r="A38" s="85">
        <f>IF($V38="","",INDEX($R$2:$R$401,$V38))</f>
        <v/>
      </c>
      <c r="B38" s="4">
        <f>IF($V38="","",INDEX(DIAS_SEMANA,WEEKDAY(INDEX($R$2:$R$401,$V38),2)))</f>
        <v/>
      </c>
      <c r="C38" s="4">
        <f>IF($V38="","","Tema "&amp;INDEX($P$2:$P$401,$V38))</f>
        <v/>
      </c>
      <c r="D38" s="70">
        <f>IF($V38="","",INDEX($Q$2:$Q$401,$V38))</f>
        <v/>
      </c>
      <c r="E38" s="4">
        <f>IF($V38="","",IF(INDEX($S$2:$S$401,$V38)&lt;&gt;"",INDEX($S$2:$S$401,$V38),IF(INDEX($R$2:$R$401,$V38)&lt;$B$2,"Vencida",IF(INDEX($R$2:$R$401,$V38)=$B$2,"Hoy","Programada"))))</f>
        <v/>
      </c>
      <c r="P38" s="26" t="n">
        <v>4</v>
      </c>
      <c r="Q38" s="26" t="n">
        <v>7</v>
      </c>
      <c r="R38" s="26">
        <f>INDEX(Progreso!$AZ$2:$BI$41,$P38,$Q38)</f>
        <v/>
      </c>
      <c r="S38" s="18">
        <f>IF(INDEX(Progreso!$AB$2:$AK$41,$P38,$Q38)=0,"",INDEX(Progreso!$AB$2:$AK$41,$P38,$Q38))</f>
        <v/>
      </c>
      <c r="T38" s="26">
        <f>IF($R38=0,"",COUNTIFS($R$2:$R$401,"&gt;0",$R$2:$R$401,"&lt;"&amp;$R38)+COUNTIFS($R$2:R38,"="&amp;$R38))</f>
        <v/>
      </c>
      <c r="V38" s="26">
        <f>IFERROR(MATCH(ROW()-ROW($V$12),$T$2:$T$401,0),"")</f>
        <v/>
      </c>
    </row>
    <row r="39" ht="22.5" customHeight="1">
      <c r="A39" s="78">
        <f>IF($V39="","",INDEX($R$2:$R$401,$V39))</f>
        <v/>
      </c>
      <c r="B39" s="2">
        <f>IF($V39="","",INDEX(DIAS_SEMANA,WEEKDAY(INDEX($R$2:$R$401,$V39),2)))</f>
        <v/>
      </c>
      <c r="C39" s="2">
        <f>IF($V39="","","Tema "&amp;INDEX($P$2:$P$401,$V39))</f>
        <v/>
      </c>
      <c r="D39" s="69">
        <f>IF($V39="","",INDEX($Q$2:$Q$401,$V39))</f>
        <v/>
      </c>
      <c r="E39" s="2">
        <f>IF($V39="","",IF(INDEX($S$2:$S$401,$V39)&lt;&gt;"",INDEX($S$2:$S$401,$V39),IF(INDEX($R$2:$R$401,$V39)&lt;$B$2,"Vencida",IF(INDEX($R$2:$R$401,$V39)=$B$2,"Hoy","Programada"))))</f>
        <v/>
      </c>
      <c r="P39" s="26" t="n">
        <v>4</v>
      </c>
      <c r="Q39" s="26" t="n">
        <v>8</v>
      </c>
      <c r="R39" s="26">
        <f>INDEX(Progreso!$AZ$2:$BI$41,$P39,$Q39)</f>
        <v/>
      </c>
      <c r="S39" s="18">
        <f>IF(INDEX(Progreso!$AB$2:$AK$41,$P39,$Q39)=0,"",INDEX(Progreso!$AB$2:$AK$41,$P39,$Q39))</f>
        <v/>
      </c>
      <c r="T39" s="26">
        <f>IF($R39=0,"",COUNTIFS($R$2:$R$401,"&gt;0",$R$2:$R$401,"&lt;"&amp;$R39)+COUNTIFS($R$2:R39,"="&amp;$R39))</f>
        <v/>
      </c>
      <c r="V39" s="26">
        <f>IFERROR(MATCH(ROW()-ROW($V$12),$T$2:$T$401,0),"")</f>
        <v/>
      </c>
    </row>
    <row r="40" ht="22.5" customHeight="1">
      <c r="A40" s="85">
        <f>IF($V40="","",INDEX($R$2:$R$401,$V40))</f>
        <v/>
      </c>
      <c r="B40" s="4">
        <f>IF($V40="","",INDEX(DIAS_SEMANA,WEEKDAY(INDEX($R$2:$R$401,$V40),2)))</f>
        <v/>
      </c>
      <c r="C40" s="4">
        <f>IF($V40="","","Tema "&amp;INDEX($P$2:$P$401,$V40))</f>
        <v/>
      </c>
      <c r="D40" s="70">
        <f>IF($V40="","",INDEX($Q$2:$Q$401,$V40))</f>
        <v/>
      </c>
      <c r="E40" s="4">
        <f>IF($V40="","",IF(INDEX($S$2:$S$401,$V40)&lt;&gt;"",INDEX($S$2:$S$401,$V40),IF(INDEX($R$2:$R$401,$V40)&lt;$B$2,"Vencida",IF(INDEX($R$2:$R$401,$V40)=$B$2,"Hoy","Programada"))))</f>
        <v/>
      </c>
      <c r="P40" s="26" t="n">
        <v>4</v>
      </c>
      <c r="Q40" s="26" t="n">
        <v>9</v>
      </c>
      <c r="R40" s="26">
        <f>INDEX(Progreso!$AZ$2:$BI$41,$P40,$Q40)</f>
        <v/>
      </c>
      <c r="S40" s="18">
        <f>IF(INDEX(Progreso!$AB$2:$AK$41,$P40,$Q40)=0,"",INDEX(Progreso!$AB$2:$AK$41,$P40,$Q40))</f>
        <v/>
      </c>
      <c r="T40" s="26">
        <f>IF($R40=0,"",COUNTIFS($R$2:$R$401,"&gt;0",$R$2:$R$401,"&lt;"&amp;$R40)+COUNTIFS($R$2:R40,"="&amp;$R40))</f>
        <v/>
      </c>
      <c r="V40" s="26">
        <f>IFERROR(MATCH(ROW()-ROW($V$12),$T$2:$T$401,0),"")</f>
        <v/>
      </c>
    </row>
    <row r="41" ht="22.5" customHeight="1">
      <c r="A41" s="78">
        <f>IF($V41="","",INDEX($R$2:$R$401,$V41))</f>
        <v/>
      </c>
      <c r="B41" s="2">
        <f>IF($V41="","",INDEX(DIAS_SEMANA,WEEKDAY(INDEX($R$2:$R$401,$V41),2)))</f>
        <v/>
      </c>
      <c r="C41" s="2">
        <f>IF($V41="","","Tema "&amp;INDEX($P$2:$P$401,$V41))</f>
        <v/>
      </c>
      <c r="D41" s="69">
        <f>IF($V41="","",INDEX($Q$2:$Q$401,$V41))</f>
        <v/>
      </c>
      <c r="E41" s="2">
        <f>IF($V41="","",IF(INDEX($S$2:$S$401,$V41)&lt;&gt;"",INDEX($S$2:$S$401,$V41),IF(INDEX($R$2:$R$401,$V41)&lt;$B$2,"Vencida",IF(INDEX($R$2:$R$401,$V41)=$B$2,"Hoy","Programada"))))</f>
        <v/>
      </c>
      <c r="P41" s="26" t="n">
        <v>4</v>
      </c>
      <c r="Q41" s="26" t="n">
        <v>10</v>
      </c>
      <c r="R41" s="26">
        <f>INDEX(Progreso!$AZ$2:$BI$41,$P41,$Q41)</f>
        <v/>
      </c>
      <c r="S41" s="18">
        <f>IF(INDEX(Progreso!$AB$2:$AK$41,$P41,$Q41)=0,"",INDEX(Progreso!$AB$2:$AK$41,$P41,$Q41))</f>
        <v/>
      </c>
      <c r="T41" s="26">
        <f>IF($R41=0,"",COUNTIFS($R$2:$R$401,"&gt;0",$R$2:$R$401,"&lt;"&amp;$R41)+COUNTIFS($R$2:R41,"="&amp;$R41))</f>
        <v/>
      </c>
      <c r="V41" s="26">
        <f>IFERROR(MATCH(ROW()-ROW($V$12),$T$2:$T$401,0),"")</f>
        <v/>
      </c>
    </row>
    <row r="42" ht="22.5" customHeight="1">
      <c r="A42" s="85">
        <f>IF($V42="","",INDEX($R$2:$R$401,$V42))</f>
        <v/>
      </c>
      <c r="B42" s="4">
        <f>IF($V42="","",INDEX(DIAS_SEMANA,WEEKDAY(INDEX($R$2:$R$401,$V42),2)))</f>
        <v/>
      </c>
      <c r="C42" s="4">
        <f>IF($V42="","","Tema "&amp;INDEX($P$2:$P$401,$V42))</f>
        <v/>
      </c>
      <c r="D42" s="70">
        <f>IF($V42="","",INDEX($Q$2:$Q$401,$V42))</f>
        <v/>
      </c>
      <c r="E42" s="4">
        <f>IF($V42="","",IF(INDEX($S$2:$S$401,$V42)&lt;&gt;"",INDEX($S$2:$S$401,$V42),IF(INDEX($R$2:$R$401,$V42)&lt;$B$2,"Vencida",IF(INDEX($R$2:$R$401,$V42)=$B$2,"Hoy","Programada"))))</f>
        <v/>
      </c>
      <c r="P42" s="26" t="n">
        <v>5</v>
      </c>
      <c r="Q42" s="26" t="n">
        <v>1</v>
      </c>
      <c r="R42" s="26">
        <f>INDEX(Progreso!$AZ$2:$BI$41,$P42,$Q42)</f>
        <v/>
      </c>
      <c r="S42" s="18">
        <f>IF(INDEX(Progreso!$AB$2:$AK$41,$P42,$Q42)=0,"",INDEX(Progreso!$AB$2:$AK$41,$P42,$Q42))</f>
        <v/>
      </c>
      <c r="T42" s="26">
        <f>IF($R42=0,"",COUNTIFS($R$2:$R$401,"&gt;0",$R$2:$R$401,"&lt;"&amp;$R42)+COUNTIFS($R$2:R42,"="&amp;$R42))</f>
        <v/>
      </c>
      <c r="V42" s="26">
        <f>IFERROR(MATCH(ROW()-ROW($V$12),$T$2:$T$401,0),"")</f>
        <v/>
      </c>
    </row>
    <row r="43" ht="22.5" customHeight="1">
      <c r="A43" s="78">
        <f>IF($V43="","",INDEX($R$2:$R$401,$V43))</f>
        <v/>
      </c>
      <c r="B43" s="2">
        <f>IF($V43="","",INDEX(DIAS_SEMANA,WEEKDAY(INDEX($R$2:$R$401,$V43),2)))</f>
        <v/>
      </c>
      <c r="C43" s="2">
        <f>IF($V43="","","Tema "&amp;INDEX($P$2:$P$401,$V43))</f>
        <v/>
      </c>
      <c r="D43" s="69">
        <f>IF($V43="","",INDEX($Q$2:$Q$401,$V43))</f>
        <v/>
      </c>
      <c r="E43" s="2">
        <f>IF($V43="","",IF(INDEX($S$2:$S$401,$V43)&lt;&gt;"",INDEX($S$2:$S$401,$V43),IF(INDEX($R$2:$R$401,$V43)&lt;$B$2,"Vencida",IF(INDEX($R$2:$R$401,$V43)=$B$2,"Hoy","Programada"))))</f>
        <v/>
      </c>
      <c r="P43" s="26" t="n">
        <v>5</v>
      </c>
      <c r="Q43" s="26" t="n">
        <v>2</v>
      </c>
      <c r="R43" s="26">
        <f>INDEX(Progreso!$AZ$2:$BI$41,$P43,$Q43)</f>
        <v/>
      </c>
      <c r="S43" s="18">
        <f>IF(INDEX(Progreso!$AB$2:$AK$41,$P43,$Q43)=0,"",INDEX(Progreso!$AB$2:$AK$41,$P43,$Q43))</f>
        <v/>
      </c>
      <c r="T43" s="26">
        <f>IF($R43=0,"",COUNTIFS($R$2:$R$401,"&gt;0",$R$2:$R$401,"&lt;"&amp;$R43)+COUNTIFS($R$2:R43,"="&amp;$R43))</f>
        <v/>
      </c>
      <c r="V43" s="26">
        <f>IFERROR(MATCH(ROW()-ROW($V$12),$T$2:$T$401,0),"")</f>
        <v/>
      </c>
    </row>
    <row r="44" ht="22.5" customHeight="1">
      <c r="A44" s="85">
        <f>IF($V44="","",INDEX($R$2:$R$401,$V44))</f>
        <v/>
      </c>
      <c r="B44" s="4">
        <f>IF($V44="","",INDEX(DIAS_SEMANA,WEEKDAY(INDEX($R$2:$R$401,$V44),2)))</f>
        <v/>
      </c>
      <c r="C44" s="4">
        <f>IF($V44="","","Tema "&amp;INDEX($P$2:$P$401,$V44))</f>
        <v/>
      </c>
      <c r="D44" s="70">
        <f>IF($V44="","",INDEX($Q$2:$Q$401,$V44))</f>
        <v/>
      </c>
      <c r="E44" s="4">
        <f>IF($V44="","",IF(INDEX($S$2:$S$401,$V44)&lt;&gt;"",INDEX($S$2:$S$401,$V44),IF(INDEX($R$2:$R$401,$V44)&lt;$B$2,"Vencida",IF(INDEX($R$2:$R$401,$V44)=$B$2,"Hoy","Programada"))))</f>
        <v/>
      </c>
      <c r="P44" s="26" t="n">
        <v>5</v>
      </c>
      <c r="Q44" s="26" t="n">
        <v>3</v>
      </c>
      <c r="R44" s="26">
        <f>INDEX(Progreso!$AZ$2:$BI$41,$P44,$Q44)</f>
        <v/>
      </c>
      <c r="S44" s="18">
        <f>IF(INDEX(Progreso!$AB$2:$AK$41,$P44,$Q44)=0,"",INDEX(Progreso!$AB$2:$AK$41,$P44,$Q44))</f>
        <v/>
      </c>
      <c r="T44" s="26">
        <f>IF($R44=0,"",COUNTIFS($R$2:$R$401,"&gt;0",$R$2:$R$401,"&lt;"&amp;$R44)+COUNTIFS($R$2:R44,"="&amp;$R44))</f>
        <v/>
      </c>
      <c r="V44" s="26">
        <f>IFERROR(MATCH(ROW()-ROW($V$12),$T$2:$T$401,0),"")</f>
        <v/>
      </c>
    </row>
    <row r="45" ht="22.5" customHeight="1">
      <c r="A45" s="78">
        <f>IF($V45="","",INDEX($R$2:$R$401,$V45))</f>
        <v/>
      </c>
      <c r="B45" s="2">
        <f>IF($V45="","",INDEX(DIAS_SEMANA,WEEKDAY(INDEX($R$2:$R$401,$V45),2)))</f>
        <v/>
      </c>
      <c r="C45" s="2">
        <f>IF($V45="","","Tema "&amp;INDEX($P$2:$P$401,$V45))</f>
        <v/>
      </c>
      <c r="D45" s="69">
        <f>IF($V45="","",INDEX($Q$2:$Q$401,$V45))</f>
        <v/>
      </c>
      <c r="E45" s="2">
        <f>IF($V45="","",IF(INDEX($S$2:$S$401,$V45)&lt;&gt;"",INDEX($S$2:$S$401,$V45),IF(INDEX($R$2:$R$401,$V45)&lt;$B$2,"Vencida",IF(INDEX($R$2:$R$401,$V45)=$B$2,"Hoy","Programada"))))</f>
        <v/>
      </c>
      <c r="P45" s="26" t="n">
        <v>5</v>
      </c>
      <c r="Q45" s="26" t="n">
        <v>4</v>
      </c>
      <c r="R45" s="26">
        <f>INDEX(Progreso!$AZ$2:$BI$41,$P45,$Q45)</f>
        <v/>
      </c>
      <c r="S45" s="18">
        <f>IF(INDEX(Progreso!$AB$2:$AK$41,$P45,$Q45)=0,"",INDEX(Progreso!$AB$2:$AK$41,$P45,$Q45))</f>
        <v/>
      </c>
      <c r="T45" s="26">
        <f>IF($R45=0,"",COUNTIFS($R$2:$R$401,"&gt;0",$R$2:$R$401,"&lt;"&amp;$R45)+COUNTIFS($R$2:R45,"="&amp;$R45))</f>
        <v/>
      </c>
      <c r="V45" s="26">
        <f>IFERROR(MATCH(ROW()-ROW($V$12),$T$2:$T$401,0),"")</f>
        <v/>
      </c>
    </row>
    <row r="46" ht="22.5" customHeight="1">
      <c r="A46" s="85">
        <f>IF($V46="","",INDEX($R$2:$R$401,$V46))</f>
        <v/>
      </c>
      <c r="B46" s="4">
        <f>IF($V46="","",INDEX(DIAS_SEMANA,WEEKDAY(INDEX($R$2:$R$401,$V46),2)))</f>
        <v/>
      </c>
      <c r="C46" s="4">
        <f>IF($V46="","","Tema "&amp;INDEX($P$2:$P$401,$V46))</f>
        <v/>
      </c>
      <c r="D46" s="70">
        <f>IF($V46="","",INDEX($Q$2:$Q$401,$V46))</f>
        <v/>
      </c>
      <c r="E46" s="4">
        <f>IF($V46="","",IF(INDEX($S$2:$S$401,$V46)&lt;&gt;"",INDEX($S$2:$S$401,$V46),IF(INDEX($R$2:$R$401,$V46)&lt;$B$2,"Vencida",IF(INDEX($R$2:$R$401,$V46)=$B$2,"Hoy","Programada"))))</f>
        <v/>
      </c>
      <c r="P46" s="26" t="n">
        <v>5</v>
      </c>
      <c r="Q46" s="26" t="n">
        <v>5</v>
      </c>
      <c r="R46" s="26">
        <f>INDEX(Progreso!$AZ$2:$BI$41,$P46,$Q46)</f>
        <v/>
      </c>
      <c r="S46" s="18">
        <f>IF(INDEX(Progreso!$AB$2:$AK$41,$P46,$Q46)=0,"",INDEX(Progreso!$AB$2:$AK$41,$P46,$Q46))</f>
        <v/>
      </c>
      <c r="T46" s="26">
        <f>IF($R46=0,"",COUNTIFS($R$2:$R$401,"&gt;0",$R$2:$R$401,"&lt;"&amp;$R46)+COUNTIFS($R$2:R46,"="&amp;$R46))</f>
        <v/>
      </c>
      <c r="V46" s="26">
        <f>IFERROR(MATCH(ROW()-ROW($V$12),$T$2:$T$401,0),"")</f>
        <v/>
      </c>
    </row>
    <row r="47" ht="22.5" customHeight="1">
      <c r="A47" s="78">
        <f>IF($V47="","",INDEX($R$2:$R$401,$V47))</f>
        <v/>
      </c>
      <c r="B47" s="2">
        <f>IF($V47="","",INDEX(DIAS_SEMANA,WEEKDAY(INDEX($R$2:$R$401,$V47),2)))</f>
        <v/>
      </c>
      <c r="C47" s="2">
        <f>IF($V47="","","Tema "&amp;INDEX($P$2:$P$401,$V47))</f>
        <v/>
      </c>
      <c r="D47" s="69">
        <f>IF($V47="","",INDEX($Q$2:$Q$401,$V47))</f>
        <v/>
      </c>
      <c r="E47" s="2">
        <f>IF($V47="","",IF(INDEX($S$2:$S$401,$V47)&lt;&gt;"",INDEX($S$2:$S$401,$V47),IF(INDEX($R$2:$R$401,$V47)&lt;$B$2,"Vencida",IF(INDEX($R$2:$R$401,$V47)=$B$2,"Hoy","Programada"))))</f>
        <v/>
      </c>
      <c r="P47" s="26" t="n">
        <v>5</v>
      </c>
      <c r="Q47" s="26" t="n">
        <v>6</v>
      </c>
      <c r="R47" s="26">
        <f>INDEX(Progreso!$AZ$2:$BI$41,$P47,$Q47)</f>
        <v/>
      </c>
      <c r="S47" s="18">
        <f>IF(INDEX(Progreso!$AB$2:$AK$41,$P47,$Q47)=0,"",INDEX(Progreso!$AB$2:$AK$41,$P47,$Q47))</f>
        <v/>
      </c>
      <c r="T47" s="26">
        <f>IF($R47=0,"",COUNTIFS($R$2:$R$401,"&gt;0",$R$2:$R$401,"&lt;"&amp;$R47)+COUNTIFS($R$2:R47,"="&amp;$R47))</f>
        <v/>
      </c>
      <c r="V47" s="26">
        <f>IFERROR(MATCH(ROW()-ROW($V$12),$T$2:$T$401,0),"")</f>
        <v/>
      </c>
    </row>
    <row r="48" ht="22.5" customHeight="1">
      <c r="A48" s="85">
        <f>IF($V48="","",INDEX($R$2:$R$401,$V48))</f>
        <v/>
      </c>
      <c r="B48" s="4">
        <f>IF($V48="","",INDEX(DIAS_SEMANA,WEEKDAY(INDEX($R$2:$R$401,$V48),2)))</f>
        <v/>
      </c>
      <c r="C48" s="4">
        <f>IF($V48="","","Tema "&amp;INDEX($P$2:$P$401,$V48))</f>
        <v/>
      </c>
      <c r="D48" s="70">
        <f>IF($V48="","",INDEX($Q$2:$Q$401,$V48))</f>
        <v/>
      </c>
      <c r="E48" s="4">
        <f>IF($V48="","",IF(INDEX($S$2:$S$401,$V48)&lt;&gt;"",INDEX($S$2:$S$401,$V48),IF(INDEX($R$2:$R$401,$V48)&lt;$B$2,"Vencida",IF(INDEX($R$2:$R$401,$V48)=$B$2,"Hoy","Programada"))))</f>
        <v/>
      </c>
      <c r="P48" s="26" t="n">
        <v>5</v>
      </c>
      <c r="Q48" s="26" t="n">
        <v>7</v>
      </c>
      <c r="R48" s="26">
        <f>INDEX(Progreso!$AZ$2:$BI$41,$P48,$Q48)</f>
        <v/>
      </c>
      <c r="S48" s="18">
        <f>IF(INDEX(Progreso!$AB$2:$AK$41,$P48,$Q48)=0,"",INDEX(Progreso!$AB$2:$AK$41,$P48,$Q48))</f>
        <v/>
      </c>
      <c r="T48" s="26">
        <f>IF($R48=0,"",COUNTIFS($R$2:$R$401,"&gt;0",$R$2:$R$401,"&lt;"&amp;$R48)+COUNTIFS($R$2:R48,"="&amp;$R48))</f>
        <v/>
      </c>
      <c r="V48" s="26">
        <f>IFERROR(MATCH(ROW()-ROW($V$12),$T$2:$T$401,0),"")</f>
        <v/>
      </c>
    </row>
    <row r="49" ht="22.5" customHeight="1">
      <c r="A49" s="78">
        <f>IF($V49="","",INDEX($R$2:$R$401,$V49))</f>
        <v/>
      </c>
      <c r="B49" s="2">
        <f>IF($V49="","",INDEX(DIAS_SEMANA,WEEKDAY(INDEX($R$2:$R$401,$V49),2)))</f>
        <v/>
      </c>
      <c r="C49" s="2">
        <f>IF($V49="","","Tema "&amp;INDEX($P$2:$P$401,$V49))</f>
        <v/>
      </c>
      <c r="D49" s="69">
        <f>IF($V49="","",INDEX($Q$2:$Q$401,$V49))</f>
        <v/>
      </c>
      <c r="E49" s="2">
        <f>IF($V49="","",IF(INDEX($S$2:$S$401,$V49)&lt;&gt;"",INDEX($S$2:$S$401,$V49),IF(INDEX($R$2:$R$401,$V49)&lt;$B$2,"Vencida",IF(INDEX($R$2:$R$401,$V49)=$B$2,"Hoy","Programada"))))</f>
        <v/>
      </c>
      <c r="P49" s="26" t="n">
        <v>5</v>
      </c>
      <c r="Q49" s="26" t="n">
        <v>8</v>
      </c>
      <c r="R49" s="26">
        <f>INDEX(Progreso!$AZ$2:$BI$41,$P49,$Q49)</f>
        <v/>
      </c>
      <c r="S49" s="18">
        <f>IF(INDEX(Progreso!$AB$2:$AK$41,$P49,$Q49)=0,"",INDEX(Progreso!$AB$2:$AK$41,$P49,$Q49))</f>
        <v/>
      </c>
      <c r="T49" s="26">
        <f>IF($R49=0,"",COUNTIFS($R$2:$R$401,"&gt;0",$R$2:$R$401,"&lt;"&amp;$R49)+COUNTIFS($R$2:R49,"="&amp;$R49))</f>
        <v/>
      </c>
      <c r="V49" s="26">
        <f>IFERROR(MATCH(ROW()-ROW($V$12),$T$2:$T$401,0),"")</f>
        <v/>
      </c>
    </row>
    <row r="50" ht="22.5" customHeight="1">
      <c r="A50" s="85">
        <f>IF($V50="","",INDEX($R$2:$R$401,$V50))</f>
        <v/>
      </c>
      <c r="B50" s="4">
        <f>IF($V50="","",INDEX(DIAS_SEMANA,WEEKDAY(INDEX($R$2:$R$401,$V50),2)))</f>
        <v/>
      </c>
      <c r="C50" s="4">
        <f>IF($V50="","","Tema "&amp;INDEX($P$2:$P$401,$V50))</f>
        <v/>
      </c>
      <c r="D50" s="70">
        <f>IF($V50="","",INDEX($Q$2:$Q$401,$V50))</f>
        <v/>
      </c>
      <c r="E50" s="4">
        <f>IF($V50="","",IF(INDEX($S$2:$S$401,$V50)&lt;&gt;"",INDEX($S$2:$S$401,$V50),IF(INDEX($R$2:$R$401,$V50)&lt;$B$2,"Vencida",IF(INDEX($R$2:$R$401,$V50)=$B$2,"Hoy","Programada"))))</f>
        <v/>
      </c>
      <c r="P50" s="26" t="n">
        <v>5</v>
      </c>
      <c r="Q50" s="26" t="n">
        <v>9</v>
      </c>
      <c r="R50" s="26">
        <f>INDEX(Progreso!$AZ$2:$BI$41,$P50,$Q50)</f>
        <v/>
      </c>
      <c r="S50" s="18">
        <f>IF(INDEX(Progreso!$AB$2:$AK$41,$P50,$Q50)=0,"",INDEX(Progreso!$AB$2:$AK$41,$P50,$Q50))</f>
        <v/>
      </c>
      <c r="T50" s="26">
        <f>IF($R50=0,"",COUNTIFS($R$2:$R$401,"&gt;0",$R$2:$R$401,"&lt;"&amp;$R50)+COUNTIFS($R$2:R50,"="&amp;$R50))</f>
        <v/>
      </c>
      <c r="V50" s="26">
        <f>IFERROR(MATCH(ROW()-ROW($V$12),$T$2:$T$401,0),"")</f>
        <v/>
      </c>
    </row>
    <row r="51" ht="22.5" customHeight="1">
      <c r="A51" s="78">
        <f>IF($V51="","",INDEX($R$2:$R$401,$V51))</f>
        <v/>
      </c>
      <c r="B51" s="2">
        <f>IF($V51="","",INDEX(DIAS_SEMANA,WEEKDAY(INDEX($R$2:$R$401,$V51),2)))</f>
        <v/>
      </c>
      <c r="C51" s="2">
        <f>IF($V51="","","Tema "&amp;INDEX($P$2:$P$401,$V51))</f>
        <v/>
      </c>
      <c r="D51" s="69">
        <f>IF($V51="","",INDEX($Q$2:$Q$401,$V51))</f>
        <v/>
      </c>
      <c r="E51" s="2">
        <f>IF($V51="","",IF(INDEX($S$2:$S$401,$V51)&lt;&gt;"",INDEX($S$2:$S$401,$V51),IF(INDEX($R$2:$R$401,$V51)&lt;$B$2,"Vencida",IF(INDEX($R$2:$R$401,$V51)=$B$2,"Hoy","Programada"))))</f>
        <v/>
      </c>
      <c r="P51" s="26" t="n">
        <v>5</v>
      </c>
      <c r="Q51" s="26" t="n">
        <v>10</v>
      </c>
      <c r="R51" s="26">
        <f>INDEX(Progreso!$AZ$2:$BI$41,$P51,$Q51)</f>
        <v/>
      </c>
      <c r="S51" s="18">
        <f>IF(INDEX(Progreso!$AB$2:$AK$41,$P51,$Q51)=0,"",INDEX(Progreso!$AB$2:$AK$41,$P51,$Q51))</f>
        <v/>
      </c>
      <c r="T51" s="26">
        <f>IF($R51=0,"",COUNTIFS($R$2:$R$401,"&gt;0",$R$2:$R$401,"&lt;"&amp;$R51)+COUNTIFS($R$2:R51,"="&amp;$R51))</f>
        <v/>
      </c>
      <c r="V51" s="26">
        <f>IFERROR(MATCH(ROW()-ROW($V$12),$T$2:$T$401,0),"")</f>
        <v/>
      </c>
    </row>
    <row r="52" ht="22.5" customHeight="1">
      <c r="A52" s="85">
        <f>IF($V52="","",INDEX($R$2:$R$401,$V52))</f>
        <v/>
      </c>
      <c r="B52" s="4">
        <f>IF($V52="","",INDEX(DIAS_SEMANA,WEEKDAY(INDEX($R$2:$R$401,$V52),2)))</f>
        <v/>
      </c>
      <c r="C52" s="4">
        <f>IF($V52="","","Tema "&amp;INDEX($P$2:$P$401,$V52))</f>
        <v/>
      </c>
      <c r="D52" s="70">
        <f>IF($V52="","",INDEX($Q$2:$Q$401,$V52))</f>
        <v/>
      </c>
      <c r="E52" s="4">
        <f>IF($V52="","",IF(INDEX($S$2:$S$401,$V52)&lt;&gt;"",INDEX($S$2:$S$401,$V52),IF(INDEX($R$2:$R$401,$V52)&lt;$B$2,"Vencida",IF(INDEX($R$2:$R$401,$V52)=$B$2,"Hoy","Programada"))))</f>
        <v/>
      </c>
      <c r="P52" s="26" t="n">
        <v>6</v>
      </c>
      <c r="Q52" s="26" t="n">
        <v>1</v>
      </c>
      <c r="R52" s="26">
        <f>INDEX(Progreso!$AZ$2:$BI$41,$P52,$Q52)</f>
        <v/>
      </c>
      <c r="S52" s="18">
        <f>IF(INDEX(Progreso!$AB$2:$AK$41,$P52,$Q52)=0,"",INDEX(Progreso!$AB$2:$AK$41,$P52,$Q52))</f>
        <v/>
      </c>
      <c r="T52" s="26">
        <f>IF($R52=0,"",COUNTIFS($R$2:$R$401,"&gt;0",$R$2:$R$401,"&lt;"&amp;$R52)+COUNTIFS($R$2:R52,"="&amp;$R52))</f>
        <v/>
      </c>
      <c r="V52" s="26">
        <f>IFERROR(MATCH(ROW()-ROW($V$12),$T$2:$T$401,0),"")</f>
        <v/>
      </c>
    </row>
    <row r="53" ht="22.5" customHeight="1">
      <c r="A53" s="78">
        <f>IF($V53="","",INDEX($R$2:$R$401,$V53))</f>
        <v/>
      </c>
      <c r="B53" s="2">
        <f>IF($V53="","",INDEX(DIAS_SEMANA,WEEKDAY(INDEX($R$2:$R$401,$V53),2)))</f>
        <v/>
      </c>
      <c r="C53" s="2">
        <f>IF($V53="","","Tema "&amp;INDEX($P$2:$P$401,$V53))</f>
        <v/>
      </c>
      <c r="D53" s="69">
        <f>IF($V53="","",INDEX($Q$2:$Q$401,$V53))</f>
        <v/>
      </c>
      <c r="E53" s="2">
        <f>IF($V53="","",IF(INDEX($S$2:$S$401,$V53)&lt;&gt;"",INDEX($S$2:$S$401,$V53),IF(INDEX($R$2:$R$401,$V53)&lt;$B$2,"Vencida",IF(INDEX($R$2:$R$401,$V53)=$B$2,"Hoy","Programada"))))</f>
        <v/>
      </c>
      <c r="P53" s="26" t="n">
        <v>6</v>
      </c>
      <c r="Q53" s="26" t="n">
        <v>2</v>
      </c>
      <c r="R53" s="26">
        <f>INDEX(Progreso!$AZ$2:$BI$41,$P53,$Q53)</f>
        <v/>
      </c>
      <c r="S53" s="18">
        <f>IF(INDEX(Progreso!$AB$2:$AK$41,$P53,$Q53)=0,"",INDEX(Progreso!$AB$2:$AK$41,$P53,$Q53))</f>
        <v/>
      </c>
      <c r="T53" s="26">
        <f>IF($R53=0,"",COUNTIFS($R$2:$R$401,"&gt;0",$R$2:$R$401,"&lt;"&amp;$R53)+COUNTIFS($R$2:R53,"="&amp;$R53))</f>
        <v/>
      </c>
      <c r="V53" s="26">
        <f>IFERROR(MATCH(ROW()-ROW($V$12),$T$2:$T$401,0),"")</f>
        <v/>
      </c>
    </row>
    <row r="54" ht="22.5" customHeight="1">
      <c r="A54" s="85">
        <f>IF($V54="","",INDEX($R$2:$R$401,$V54))</f>
        <v/>
      </c>
      <c r="B54" s="4">
        <f>IF($V54="","",INDEX(DIAS_SEMANA,WEEKDAY(INDEX($R$2:$R$401,$V54),2)))</f>
        <v/>
      </c>
      <c r="C54" s="4">
        <f>IF($V54="","","Tema "&amp;INDEX($P$2:$P$401,$V54))</f>
        <v/>
      </c>
      <c r="D54" s="70">
        <f>IF($V54="","",INDEX($Q$2:$Q$401,$V54))</f>
        <v/>
      </c>
      <c r="E54" s="4">
        <f>IF($V54="","",IF(INDEX($S$2:$S$401,$V54)&lt;&gt;"",INDEX($S$2:$S$401,$V54),IF(INDEX($R$2:$R$401,$V54)&lt;$B$2,"Vencida",IF(INDEX($R$2:$R$401,$V54)=$B$2,"Hoy","Programada"))))</f>
        <v/>
      </c>
      <c r="P54" s="26" t="n">
        <v>6</v>
      </c>
      <c r="Q54" s="26" t="n">
        <v>3</v>
      </c>
      <c r="R54" s="26">
        <f>INDEX(Progreso!$AZ$2:$BI$41,$P54,$Q54)</f>
        <v/>
      </c>
      <c r="S54" s="18">
        <f>IF(INDEX(Progreso!$AB$2:$AK$41,$P54,$Q54)=0,"",INDEX(Progreso!$AB$2:$AK$41,$P54,$Q54))</f>
        <v/>
      </c>
      <c r="T54" s="26">
        <f>IF($R54=0,"",COUNTIFS($R$2:$R$401,"&gt;0",$R$2:$R$401,"&lt;"&amp;$R54)+COUNTIFS($R$2:R54,"="&amp;$R54))</f>
        <v/>
      </c>
      <c r="V54" s="26">
        <f>IFERROR(MATCH(ROW()-ROW($V$12),$T$2:$T$401,0),"")</f>
        <v/>
      </c>
    </row>
    <row r="55" ht="22.5" customHeight="1">
      <c r="A55" s="78">
        <f>IF($V55="","",INDEX($R$2:$R$401,$V55))</f>
        <v/>
      </c>
      <c r="B55" s="2">
        <f>IF($V55="","",INDEX(DIAS_SEMANA,WEEKDAY(INDEX($R$2:$R$401,$V55),2)))</f>
        <v/>
      </c>
      <c r="C55" s="2">
        <f>IF($V55="","","Tema "&amp;INDEX($P$2:$P$401,$V55))</f>
        <v/>
      </c>
      <c r="D55" s="69">
        <f>IF($V55="","",INDEX($Q$2:$Q$401,$V55))</f>
        <v/>
      </c>
      <c r="E55" s="2">
        <f>IF($V55="","",IF(INDEX($S$2:$S$401,$V55)&lt;&gt;"",INDEX($S$2:$S$401,$V55),IF(INDEX($R$2:$R$401,$V55)&lt;$B$2,"Vencida",IF(INDEX($R$2:$R$401,$V55)=$B$2,"Hoy","Programada"))))</f>
        <v/>
      </c>
      <c r="P55" s="26" t="n">
        <v>6</v>
      </c>
      <c r="Q55" s="26" t="n">
        <v>4</v>
      </c>
      <c r="R55" s="26">
        <f>INDEX(Progreso!$AZ$2:$BI$41,$P55,$Q55)</f>
        <v/>
      </c>
      <c r="S55" s="18">
        <f>IF(INDEX(Progreso!$AB$2:$AK$41,$P55,$Q55)=0,"",INDEX(Progreso!$AB$2:$AK$41,$P55,$Q55))</f>
        <v/>
      </c>
      <c r="T55" s="26">
        <f>IF($R55=0,"",COUNTIFS($R$2:$R$401,"&gt;0",$R$2:$R$401,"&lt;"&amp;$R55)+COUNTIFS($R$2:R55,"="&amp;$R55))</f>
        <v/>
      </c>
      <c r="V55" s="26">
        <f>IFERROR(MATCH(ROW()-ROW($V$12),$T$2:$T$401,0),"")</f>
        <v/>
      </c>
    </row>
    <row r="56" ht="22.5" customHeight="1">
      <c r="A56" s="85">
        <f>IF($V56="","",INDEX($R$2:$R$401,$V56))</f>
        <v/>
      </c>
      <c r="B56" s="4">
        <f>IF($V56="","",INDEX(DIAS_SEMANA,WEEKDAY(INDEX($R$2:$R$401,$V56),2)))</f>
        <v/>
      </c>
      <c r="C56" s="4">
        <f>IF($V56="","","Tema "&amp;INDEX($P$2:$P$401,$V56))</f>
        <v/>
      </c>
      <c r="D56" s="70">
        <f>IF($V56="","",INDEX($Q$2:$Q$401,$V56))</f>
        <v/>
      </c>
      <c r="E56" s="4">
        <f>IF($V56="","",IF(INDEX($S$2:$S$401,$V56)&lt;&gt;"",INDEX($S$2:$S$401,$V56),IF(INDEX($R$2:$R$401,$V56)&lt;$B$2,"Vencida",IF(INDEX($R$2:$R$401,$V56)=$B$2,"Hoy","Programada"))))</f>
        <v/>
      </c>
      <c r="P56" s="26" t="n">
        <v>6</v>
      </c>
      <c r="Q56" s="26" t="n">
        <v>5</v>
      </c>
      <c r="R56" s="26">
        <f>INDEX(Progreso!$AZ$2:$BI$41,$P56,$Q56)</f>
        <v/>
      </c>
      <c r="S56" s="18">
        <f>IF(INDEX(Progreso!$AB$2:$AK$41,$P56,$Q56)=0,"",INDEX(Progreso!$AB$2:$AK$41,$P56,$Q56))</f>
        <v/>
      </c>
      <c r="T56" s="26">
        <f>IF($R56=0,"",COUNTIFS($R$2:$R$401,"&gt;0",$R$2:$R$401,"&lt;"&amp;$R56)+COUNTIFS($R$2:R56,"="&amp;$R56))</f>
        <v/>
      </c>
      <c r="V56" s="26">
        <f>IFERROR(MATCH(ROW()-ROW($V$12),$T$2:$T$401,0),"")</f>
        <v/>
      </c>
    </row>
    <row r="57" ht="22.5" customHeight="1">
      <c r="A57" s="78">
        <f>IF($V57="","",INDEX($R$2:$R$401,$V57))</f>
        <v/>
      </c>
      <c r="B57" s="2">
        <f>IF($V57="","",INDEX(DIAS_SEMANA,WEEKDAY(INDEX($R$2:$R$401,$V57),2)))</f>
        <v/>
      </c>
      <c r="C57" s="2">
        <f>IF($V57="","","Tema "&amp;INDEX($P$2:$P$401,$V57))</f>
        <v/>
      </c>
      <c r="D57" s="69">
        <f>IF($V57="","",INDEX($Q$2:$Q$401,$V57))</f>
        <v/>
      </c>
      <c r="E57" s="2">
        <f>IF($V57="","",IF(INDEX($S$2:$S$401,$V57)&lt;&gt;"",INDEX($S$2:$S$401,$V57),IF(INDEX($R$2:$R$401,$V57)&lt;$B$2,"Vencida",IF(INDEX($R$2:$R$401,$V57)=$B$2,"Hoy","Programada"))))</f>
        <v/>
      </c>
      <c r="P57" s="26" t="n">
        <v>6</v>
      </c>
      <c r="Q57" s="26" t="n">
        <v>6</v>
      </c>
      <c r="R57" s="26">
        <f>INDEX(Progreso!$AZ$2:$BI$41,$P57,$Q57)</f>
        <v/>
      </c>
      <c r="S57" s="18">
        <f>IF(INDEX(Progreso!$AB$2:$AK$41,$P57,$Q57)=0,"",INDEX(Progreso!$AB$2:$AK$41,$P57,$Q57))</f>
        <v/>
      </c>
      <c r="T57" s="26">
        <f>IF($R57=0,"",COUNTIFS($R$2:$R$401,"&gt;0",$R$2:$R$401,"&lt;"&amp;$R57)+COUNTIFS($R$2:R57,"="&amp;$R57))</f>
        <v/>
      </c>
      <c r="V57" s="26">
        <f>IFERROR(MATCH(ROW()-ROW($V$12),$T$2:$T$401,0),"")</f>
        <v/>
      </c>
    </row>
    <row r="58" ht="22.5" customHeight="1">
      <c r="A58" s="85">
        <f>IF($V58="","",INDEX($R$2:$R$401,$V58))</f>
        <v/>
      </c>
      <c r="B58" s="4">
        <f>IF($V58="","",INDEX(DIAS_SEMANA,WEEKDAY(INDEX($R$2:$R$401,$V58),2)))</f>
        <v/>
      </c>
      <c r="C58" s="4">
        <f>IF($V58="","","Tema "&amp;INDEX($P$2:$P$401,$V58))</f>
        <v/>
      </c>
      <c r="D58" s="70">
        <f>IF($V58="","",INDEX($Q$2:$Q$401,$V58))</f>
        <v/>
      </c>
      <c r="E58" s="4">
        <f>IF($V58="","",IF(INDEX($S$2:$S$401,$V58)&lt;&gt;"",INDEX($S$2:$S$401,$V58),IF(INDEX($R$2:$R$401,$V58)&lt;$B$2,"Vencida",IF(INDEX($R$2:$R$401,$V58)=$B$2,"Hoy","Programada"))))</f>
        <v/>
      </c>
      <c r="P58" s="26" t="n">
        <v>6</v>
      </c>
      <c r="Q58" s="26" t="n">
        <v>7</v>
      </c>
      <c r="R58" s="26">
        <f>INDEX(Progreso!$AZ$2:$BI$41,$P58,$Q58)</f>
        <v/>
      </c>
      <c r="S58" s="18">
        <f>IF(INDEX(Progreso!$AB$2:$AK$41,$P58,$Q58)=0,"",INDEX(Progreso!$AB$2:$AK$41,$P58,$Q58))</f>
        <v/>
      </c>
      <c r="T58" s="26">
        <f>IF($R58=0,"",COUNTIFS($R$2:$R$401,"&gt;0",$R$2:$R$401,"&lt;"&amp;$R58)+COUNTIFS($R$2:R58,"="&amp;$R58))</f>
        <v/>
      </c>
      <c r="V58" s="26">
        <f>IFERROR(MATCH(ROW()-ROW($V$12),$T$2:$T$401,0),"")</f>
        <v/>
      </c>
    </row>
    <row r="59" ht="22.5" customHeight="1">
      <c r="A59" s="78">
        <f>IF($V59="","",INDEX($R$2:$R$401,$V59))</f>
        <v/>
      </c>
      <c r="B59" s="2">
        <f>IF($V59="","",INDEX(DIAS_SEMANA,WEEKDAY(INDEX($R$2:$R$401,$V59),2)))</f>
        <v/>
      </c>
      <c r="C59" s="2">
        <f>IF($V59="","","Tema "&amp;INDEX($P$2:$P$401,$V59))</f>
        <v/>
      </c>
      <c r="D59" s="69">
        <f>IF($V59="","",INDEX($Q$2:$Q$401,$V59))</f>
        <v/>
      </c>
      <c r="E59" s="2">
        <f>IF($V59="","",IF(INDEX($S$2:$S$401,$V59)&lt;&gt;"",INDEX($S$2:$S$401,$V59),IF(INDEX($R$2:$R$401,$V59)&lt;$B$2,"Vencida",IF(INDEX($R$2:$R$401,$V59)=$B$2,"Hoy","Programada"))))</f>
        <v/>
      </c>
      <c r="P59" s="26" t="n">
        <v>6</v>
      </c>
      <c r="Q59" s="26" t="n">
        <v>8</v>
      </c>
      <c r="R59" s="26">
        <f>INDEX(Progreso!$AZ$2:$BI$41,$P59,$Q59)</f>
        <v/>
      </c>
      <c r="S59" s="18">
        <f>IF(INDEX(Progreso!$AB$2:$AK$41,$P59,$Q59)=0,"",INDEX(Progreso!$AB$2:$AK$41,$P59,$Q59))</f>
        <v/>
      </c>
      <c r="T59" s="26">
        <f>IF($R59=0,"",COUNTIFS($R$2:$R$401,"&gt;0",$R$2:$R$401,"&lt;"&amp;$R59)+COUNTIFS($R$2:R59,"="&amp;$R59))</f>
        <v/>
      </c>
      <c r="V59" s="26">
        <f>IFERROR(MATCH(ROW()-ROW($V$12),$T$2:$T$401,0),"")</f>
        <v/>
      </c>
    </row>
    <row r="60" ht="22.5" customHeight="1">
      <c r="A60" s="85">
        <f>IF($V60="","",INDEX($R$2:$R$401,$V60))</f>
        <v/>
      </c>
      <c r="B60" s="4">
        <f>IF($V60="","",INDEX(DIAS_SEMANA,WEEKDAY(INDEX($R$2:$R$401,$V60),2)))</f>
        <v/>
      </c>
      <c r="C60" s="4">
        <f>IF($V60="","","Tema "&amp;INDEX($P$2:$P$401,$V60))</f>
        <v/>
      </c>
      <c r="D60" s="70">
        <f>IF($V60="","",INDEX($Q$2:$Q$401,$V60))</f>
        <v/>
      </c>
      <c r="E60" s="4">
        <f>IF($V60="","",IF(INDEX($S$2:$S$401,$V60)&lt;&gt;"",INDEX($S$2:$S$401,$V60),IF(INDEX($R$2:$R$401,$V60)&lt;$B$2,"Vencida",IF(INDEX($R$2:$R$401,$V60)=$B$2,"Hoy","Programada"))))</f>
        <v/>
      </c>
      <c r="P60" s="26" t="n">
        <v>6</v>
      </c>
      <c r="Q60" s="26" t="n">
        <v>9</v>
      </c>
      <c r="R60" s="26">
        <f>INDEX(Progreso!$AZ$2:$BI$41,$P60,$Q60)</f>
        <v/>
      </c>
      <c r="S60" s="18">
        <f>IF(INDEX(Progreso!$AB$2:$AK$41,$P60,$Q60)=0,"",INDEX(Progreso!$AB$2:$AK$41,$P60,$Q60))</f>
        <v/>
      </c>
      <c r="T60" s="26">
        <f>IF($R60=0,"",COUNTIFS($R$2:$R$401,"&gt;0",$R$2:$R$401,"&lt;"&amp;$R60)+COUNTIFS($R$2:R60,"="&amp;$R60))</f>
        <v/>
      </c>
      <c r="V60" s="26">
        <f>IFERROR(MATCH(ROW()-ROW($V$12),$T$2:$T$401,0),"")</f>
        <v/>
      </c>
    </row>
    <row r="61" ht="22.5" customHeight="1">
      <c r="A61" s="78">
        <f>IF($V61="","",INDEX($R$2:$R$401,$V61))</f>
        <v/>
      </c>
      <c r="B61" s="2">
        <f>IF($V61="","",INDEX(DIAS_SEMANA,WEEKDAY(INDEX($R$2:$R$401,$V61),2)))</f>
        <v/>
      </c>
      <c r="C61" s="2">
        <f>IF($V61="","","Tema "&amp;INDEX($P$2:$P$401,$V61))</f>
        <v/>
      </c>
      <c r="D61" s="69">
        <f>IF($V61="","",INDEX($Q$2:$Q$401,$V61))</f>
        <v/>
      </c>
      <c r="E61" s="2">
        <f>IF($V61="","",IF(INDEX($S$2:$S$401,$V61)&lt;&gt;"",INDEX($S$2:$S$401,$V61),IF(INDEX($R$2:$R$401,$V61)&lt;$B$2,"Vencida",IF(INDEX($R$2:$R$401,$V61)=$B$2,"Hoy","Programada"))))</f>
        <v/>
      </c>
      <c r="P61" s="26" t="n">
        <v>6</v>
      </c>
      <c r="Q61" s="26" t="n">
        <v>10</v>
      </c>
      <c r="R61" s="26">
        <f>INDEX(Progreso!$AZ$2:$BI$41,$P61,$Q61)</f>
        <v/>
      </c>
      <c r="S61" s="18">
        <f>IF(INDEX(Progreso!$AB$2:$AK$41,$P61,$Q61)=0,"",INDEX(Progreso!$AB$2:$AK$41,$P61,$Q61))</f>
        <v/>
      </c>
      <c r="T61" s="26">
        <f>IF($R61=0,"",COUNTIFS($R$2:$R$401,"&gt;0",$R$2:$R$401,"&lt;"&amp;$R61)+COUNTIFS($R$2:R61,"="&amp;$R61))</f>
        <v/>
      </c>
      <c r="V61" s="26">
        <f>IFERROR(MATCH(ROW()-ROW($V$12),$T$2:$T$401,0),"")</f>
        <v/>
      </c>
    </row>
    <row r="62" ht="22.5" customHeight="1">
      <c r="A62" s="85">
        <f>IF($V62="","",INDEX($R$2:$R$401,$V62))</f>
        <v/>
      </c>
      <c r="B62" s="4">
        <f>IF($V62="","",INDEX(DIAS_SEMANA,WEEKDAY(INDEX($R$2:$R$401,$V62),2)))</f>
        <v/>
      </c>
      <c r="C62" s="4">
        <f>IF($V62="","","Tema "&amp;INDEX($P$2:$P$401,$V62))</f>
        <v/>
      </c>
      <c r="D62" s="70">
        <f>IF($V62="","",INDEX($Q$2:$Q$401,$V62))</f>
        <v/>
      </c>
      <c r="E62" s="4">
        <f>IF($V62="","",IF(INDEX($S$2:$S$401,$V62)&lt;&gt;"",INDEX($S$2:$S$401,$V62),IF(INDEX($R$2:$R$401,$V62)&lt;$B$2,"Vencida",IF(INDEX($R$2:$R$401,$V62)=$B$2,"Hoy","Programada"))))</f>
        <v/>
      </c>
      <c r="P62" s="26" t="n">
        <v>7</v>
      </c>
      <c r="Q62" s="26" t="n">
        <v>1</v>
      </c>
      <c r="R62" s="26">
        <f>INDEX(Progreso!$AZ$2:$BI$41,$P62,$Q62)</f>
        <v/>
      </c>
      <c r="S62" s="18">
        <f>IF(INDEX(Progreso!$AB$2:$AK$41,$P62,$Q62)=0,"",INDEX(Progreso!$AB$2:$AK$41,$P62,$Q62))</f>
        <v/>
      </c>
      <c r="T62" s="26">
        <f>IF($R62=0,"",COUNTIFS($R$2:$R$401,"&gt;0",$R$2:$R$401,"&lt;"&amp;$R62)+COUNTIFS($R$2:R62,"="&amp;$R62))</f>
        <v/>
      </c>
      <c r="V62" s="26">
        <f>IFERROR(MATCH(ROW()-ROW($V$12),$T$2:$T$401,0),"")</f>
        <v/>
      </c>
    </row>
    <row r="63" ht="22.5" customHeight="1">
      <c r="A63" s="78">
        <f>IF($V63="","",INDEX($R$2:$R$401,$V63))</f>
        <v/>
      </c>
      <c r="B63" s="2">
        <f>IF($V63="","",INDEX(DIAS_SEMANA,WEEKDAY(INDEX($R$2:$R$401,$V63),2)))</f>
        <v/>
      </c>
      <c r="C63" s="2">
        <f>IF($V63="","","Tema "&amp;INDEX($P$2:$P$401,$V63))</f>
        <v/>
      </c>
      <c r="D63" s="69">
        <f>IF($V63="","",INDEX($Q$2:$Q$401,$V63))</f>
        <v/>
      </c>
      <c r="E63" s="2">
        <f>IF($V63="","",IF(INDEX($S$2:$S$401,$V63)&lt;&gt;"",INDEX($S$2:$S$401,$V63),IF(INDEX($R$2:$R$401,$V63)&lt;$B$2,"Vencida",IF(INDEX($R$2:$R$401,$V63)=$B$2,"Hoy","Programada"))))</f>
        <v/>
      </c>
      <c r="P63" s="26" t="n">
        <v>7</v>
      </c>
      <c r="Q63" s="26" t="n">
        <v>2</v>
      </c>
      <c r="R63" s="26">
        <f>INDEX(Progreso!$AZ$2:$BI$41,$P63,$Q63)</f>
        <v/>
      </c>
      <c r="S63" s="18">
        <f>IF(INDEX(Progreso!$AB$2:$AK$41,$P63,$Q63)=0,"",INDEX(Progreso!$AB$2:$AK$41,$P63,$Q63))</f>
        <v/>
      </c>
      <c r="T63" s="26">
        <f>IF($R63=0,"",COUNTIFS($R$2:$R$401,"&gt;0",$R$2:$R$401,"&lt;"&amp;$R63)+COUNTIFS($R$2:R63,"="&amp;$R63))</f>
        <v/>
      </c>
      <c r="V63" s="26">
        <f>IFERROR(MATCH(ROW()-ROW($V$12),$T$2:$T$401,0),"")</f>
        <v/>
      </c>
    </row>
    <row r="64" ht="22.5" customHeight="1">
      <c r="A64" s="85">
        <f>IF($V64="","",INDEX($R$2:$R$401,$V64))</f>
        <v/>
      </c>
      <c r="B64" s="4">
        <f>IF($V64="","",INDEX(DIAS_SEMANA,WEEKDAY(INDEX($R$2:$R$401,$V64),2)))</f>
        <v/>
      </c>
      <c r="C64" s="4">
        <f>IF($V64="","","Tema "&amp;INDEX($P$2:$P$401,$V64))</f>
        <v/>
      </c>
      <c r="D64" s="70">
        <f>IF($V64="","",INDEX($Q$2:$Q$401,$V64))</f>
        <v/>
      </c>
      <c r="E64" s="4">
        <f>IF($V64="","",IF(INDEX($S$2:$S$401,$V64)&lt;&gt;"",INDEX($S$2:$S$401,$V64),IF(INDEX($R$2:$R$401,$V64)&lt;$B$2,"Vencida",IF(INDEX($R$2:$R$401,$V64)=$B$2,"Hoy","Programada"))))</f>
        <v/>
      </c>
      <c r="P64" s="26" t="n">
        <v>7</v>
      </c>
      <c r="Q64" s="26" t="n">
        <v>3</v>
      </c>
      <c r="R64" s="26">
        <f>INDEX(Progreso!$AZ$2:$BI$41,$P64,$Q64)</f>
        <v/>
      </c>
      <c r="S64" s="18">
        <f>IF(INDEX(Progreso!$AB$2:$AK$41,$P64,$Q64)=0,"",INDEX(Progreso!$AB$2:$AK$41,$P64,$Q64))</f>
        <v/>
      </c>
      <c r="T64" s="26">
        <f>IF($R64=0,"",COUNTIFS($R$2:$R$401,"&gt;0",$R$2:$R$401,"&lt;"&amp;$R64)+COUNTIFS($R$2:R64,"="&amp;$R64))</f>
        <v/>
      </c>
      <c r="V64" s="26">
        <f>IFERROR(MATCH(ROW()-ROW($V$12),$T$2:$T$401,0),"")</f>
        <v/>
      </c>
    </row>
    <row r="65" ht="22.5" customHeight="1">
      <c r="A65" s="78">
        <f>IF($V65="","",INDEX($R$2:$R$401,$V65))</f>
        <v/>
      </c>
      <c r="B65" s="2">
        <f>IF($V65="","",INDEX(DIAS_SEMANA,WEEKDAY(INDEX($R$2:$R$401,$V65),2)))</f>
        <v/>
      </c>
      <c r="C65" s="2">
        <f>IF($V65="","","Tema "&amp;INDEX($P$2:$P$401,$V65))</f>
        <v/>
      </c>
      <c r="D65" s="69">
        <f>IF($V65="","",INDEX($Q$2:$Q$401,$V65))</f>
        <v/>
      </c>
      <c r="E65" s="2">
        <f>IF($V65="","",IF(INDEX($S$2:$S$401,$V65)&lt;&gt;"",INDEX($S$2:$S$401,$V65),IF(INDEX($R$2:$R$401,$V65)&lt;$B$2,"Vencida",IF(INDEX($R$2:$R$401,$V65)=$B$2,"Hoy","Programada"))))</f>
        <v/>
      </c>
      <c r="P65" s="26" t="n">
        <v>7</v>
      </c>
      <c r="Q65" s="26" t="n">
        <v>4</v>
      </c>
      <c r="R65" s="26">
        <f>INDEX(Progreso!$AZ$2:$BI$41,$P65,$Q65)</f>
        <v/>
      </c>
      <c r="S65" s="18">
        <f>IF(INDEX(Progreso!$AB$2:$AK$41,$P65,$Q65)=0,"",INDEX(Progreso!$AB$2:$AK$41,$P65,$Q65))</f>
        <v/>
      </c>
      <c r="T65" s="26">
        <f>IF($R65=0,"",COUNTIFS($R$2:$R$401,"&gt;0",$R$2:$R$401,"&lt;"&amp;$R65)+COUNTIFS($R$2:R65,"="&amp;$R65))</f>
        <v/>
      </c>
      <c r="V65" s="26">
        <f>IFERROR(MATCH(ROW()-ROW($V$12),$T$2:$T$401,0),"")</f>
        <v/>
      </c>
    </row>
    <row r="66" ht="22.5" customHeight="1">
      <c r="A66" s="85">
        <f>IF($V66="","",INDEX($R$2:$R$401,$V66))</f>
        <v/>
      </c>
      <c r="B66" s="4">
        <f>IF($V66="","",INDEX(DIAS_SEMANA,WEEKDAY(INDEX($R$2:$R$401,$V66),2)))</f>
        <v/>
      </c>
      <c r="C66" s="4">
        <f>IF($V66="","","Tema "&amp;INDEX($P$2:$P$401,$V66))</f>
        <v/>
      </c>
      <c r="D66" s="70">
        <f>IF($V66="","",INDEX($Q$2:$Q$401,$V66))</f>
        <v/>
      </c>
      <c r="E66" s="4">
        <f>IF($V66="","",IF(INDEX($S$2:$S$401,$V66)&lt;&gt;"",INDEX($S$2:$S$401,$V66),IF(INDEX($R$2:$R$401,$V66)&lt;$B$2,"Vencida",IF(INDEX($R$2:$R$401,$V66)=$B$2,"Hoy","Programada"))))</f>
        <v/>
      </c>
      <c r="P66" s="26" t="n">
        <v>7</v>
      </c>
      <c r="Q66" s="26" t="n">
        <v>5</v>
      </c>
      <c r="R66" s="26">
        <f>INDEX(Progreso!$AZ$2:$BI$41,$P66,$Q66)</f>
        <v/>
      </c>
      <c r="S66" s="18">
        <f>IF(INDEX(Progreso!$AB$2:$AK$41,$P66,$Q66)=0,"",INDEX(Progreso!$AB$2:$AK$41,$P66,$Q66))</f>
        <v/>
      </c>
      <c r="T66" s="26">
        <f>IF($R66=0,"",COUNTIFS($R$2:$R$401,"&gt;0",$R$2:$R$401,"&lt;"&amp;$R66)+COUNTIFS($R$2:R66,"="&amp;$R66))</f>
        <v/>
      </c>
      <c r="V66" s="26">
        <f>IFERROR(MATCH(ROW()-ROW($V$12),$T$2:$T$401,0),"")</f>
        <v/>
      </c>
    </row>
    <row r="67" ht="22.5" customHeight="1">
      <c r="A67" s="78">
        <f>IF($V67="","",INDEX($R$2:$R$401,$V67))</f>
        <v/>
      </c>
      <c r="B67" s="2">
        <f>IF($V67="","",INDEX(DIAS_SEMANA,WEEKDAY(INDEX($R$2:$R$401,$V67),2)))</f>
        <v/>
      </c>
      <c r="C67" s="2">
        <f>IF($V67="","","Tema "&amp;INDEX($P$2:$P$401,$V67))</f>
        <v/>
      </c>
      <c r="D67" s="69">
        <f>IF($V67="","",INDEX($Q$2:$Q$401,$V67))</f>
        <v/>
      </c>
      <c r="E67" s="2">
        <f>IF($V67="","",IF(INDEX($S$2:$S$401,$V67)&lt;&gt;"",INDEX($S$2:$S$401,$V67),IF(INDEX($R$2:$R$401,$V67)&lt;$B$2,"Vencida",IF(INDEX($R$2:$R$401,$V67)=$B$2,"Hoy","Programada"))))</f>
        <v/>
      </c>
      <c r="P67" s="26" t="n">
        <v>7</v>
      </c>
      <c r="Q67" s="26" t="n">
        <v>6</v>
      </c>
      <c r="R67" s="26">
        <f>INDEX(Progreso!$AZ$2:$BI$41,$P67,$Q67)</f>
        <v/>
      </c>
      <c r="S67" s="18">
        <f>IF(INDEX(Progreso!$AB$2:$AK$41,$P67,$Q67)=0,"",INDEX(Progreso!$AB$2:$AK$41,$P67,$Q67))</f>
        <v/>
      </c>
      <c r="T67" s="26">
        <f>IF($R67=0,"",COUNTIFS($R$2:$R$401,"&gt;0",$R$2:$R$401,"&lt;"&amp;$R67)+COUNTIFS($R$2:R67,"="&amp;$R67))</f>
        <v/>
      </c>
      <c r="V67" s="26">
        <f>IFERROR(MATCH(ROW()-ROW($V$12),$T$2:$T$401,0),"")</f>
        <v/>
      </c>
    </row>
    <row r="68" ht="22.5" customHeight="1">
      <c r="A68" s="85">
        <f>IF($V68="","",INDEX($R$2:$R$401,$V68))</f>
        <v/>
      </c>
      <c r="B68" s="4">
        <f>IF($V68="","",INDEX(DIAS_SEMANA,WEEKDAY(INDEX($R$2:$R$401,$V68),2)))</f>
        <v/>
      </c>
      <c r="C68" s="4">
        <f>IF($V68="","","Tema "&amp;INDEX($P$2:$P$401,$V68))</f>
        <v/>
      </c>
      <c r="D68" s="70">
        <f>IF($V68="","",INDEX($Q$2:$Q$401,$V68))</f>
        <v/>
      </c>
      <c r="E68" s="4">
        <f>IF($V68="","",IF(INDEX($S$2:$S$401,$V68)&lt;&gt;"",INDEX($S$2:$S$401,$V68),IF(INDEX($R$2:$R$401,$V68)&lt;$B$2,"Vencida",IF(INDEX($R$2:$R$401,$V68)=$B$2,"Hoy","Programada"))))</f>
        <v/>
      </c>
      <c r="P68" s="26" t="n">
        <v>7</v>
      </c>
      <c r="Q68" s="26" t="n">
        <v>7</v>
      </c>
      <c r="R68" s="26">
        <f>INDEX(Progreso!$AZ$2:$BI$41,$P68,$Q68)</f>
        <v/>
      </c>
      <c r="S68" s="18">
        <f>IF(INDEX(Progreso!$AB$2:$AK$41,$P68,$Q68)=0,"",INDEX(Progreso!$AB$2:$AK$41,$P68,$Q68))</f>
        <v/>
      </c>
      <c r="T68" s="26">
        <f>IF($R68=0,"",COUNTIFS($R$2:$R$401,"&gt;0",$R$2:$R$401,"&lt;"&amp;$R68)+COUNTIFS($R$2:R68,"="&amp;$R68))</f>
        <v/>
      </c>
      <c r="V68" s="26">
        <f>IFERROR(MATCH(ROW()-ROW($V$12),$T$2:$T$401,0),"")</f>
        <v/>
      </c>
    </row>
    <row r="69" ht="22.5" customHeight="1">
      <c r="A69" s="78">
        <f>IF($V69="","",INDEX($R$2:$R$401,$V69))</f>
        <v/>
      </c>
      <c r="B69" s="2">
        <f>IF($V69="","",INDEX(DIAS_SEMANA,WEEKDAY(INDEX($R$2:$R$401,$V69),2)))</f>
        <v/>
      </c>
      <c r="C69" s="2">
        <f>IF($V69="","","Tema "&amp;INDEX($P$2:$P$401,$V69))</f>
        <v/>
      </c>
      <c r="D69" s="69">
        <f>IF($V69="","",INDEX($Q$2:$Q$401,$V69))</f>
        <v/>
      </c>
      <c r="E69" s="2">
        <f>IF($V69="","",IF(INDEX($S$2:$S$401,$V69)&lt;&gt;"",INDEX($S$2:$S$401,$V69),IF(INDEX($R$2:$R$401,$V69)&lt;$B$2,"Vencida",IF(INDEX($R$2:$R$401,$V69)=$B$2,"Hoy","Programada"))))</f>
        <v/>
      </c>
      <c r="P69" s="26" t="n">
        <v>7</v>
      </c>
      <c r="Q69" s="26" t="n">
        <v>8</v>
      </c>
      <c r="R69" s="26">
        <f>INDEX(Progreso!$AZ$2:$BI$41,$P69,$Q69)</f>
        <v/>
      </c>
      <c r="S69" s="18">
        <f>IF(INDEX(Progreso!$AB$2:$AK$41,$P69,$Q69)=0,"",INDEX(Progreso!$AB$2:$AK$41,$P69,$Q69))</f>
        <v/>
      </c>
      <c r="T69" s="26">
        <f>IF($R69=0,"",COUNTIFS($R$2:$R$401,"&gt;0",$R$2:$R$401,"&lt;"&amp;$R69)+COUNTIFS($R$2:R69,"="&amp;$R69))</f>
        <v/>
      </c>
      <c r="V69" s="26">
        <f>IFERROR(MATCH(ROW()-ROW($V$12),$T$2:$T$401,0),"")</f>
        <v/>
      </c>
    </row>
    <row r="70" ht="22.5" customHeight="1">
      <c r="A70" s="85">
        <f>IF($V70="","",INDEX($R$2:$R$401,$V70))</f>
        <v/>
      </c>
      <c r="B70" s="4">
        <f>IF($V70="","",INDEX(DIAS_SEMANA,WEEKDAY(INDEX($R$2:$R$401,$V70),2)))</f>
        <v/>
      </c>
      <c r="C70" s="4">
        <f>IF($V70="","","Tema "&amp;INDEX($P$2:$P$401,$V70))</f>
        <v/>
      </c>
      <c r="D70" s="70">
        <f>IF($V70="","",INDEX($Q$2:$Q$401,$V70))</f>
        <v/>
      </c>
      <c r="E70" s="4">
        <f>IF($V70="","",IF(INDEX($S$2:$S$401,$V70)&lt;&gt;"",INDEX($S$2:$S$401,$V70),IF(INDEX($R$2:$R$401,$V70)&lt;$B$2,"Vencida",IF(INDEX($R$2:$R$401,$V70)=$B$2,"Hoy","Programada"))))</f>
        <v/>
      </c>
      <c r="P70" s="26" t="n">
        <v>7</v>
      </c>
      <c r="Q70" s="26" t="n">
        <v>9</v>
      </c>
      <c r="R70" s="26">
        <f>INDEX(Progreso!$AZ$2:$BI$41,$P70,$Q70)</f>
        <v/>
      </c>
      <c r="S70" s="18">
        <f>IF(INDEX(Progreso!$AB$2:$AK$41,$P70,$Q70)=0,"",INDEX(Progreso!$AB$2:$AK$41,$P70,$Q70))</f>
        <v/>
      </c>
      <c r="T70" s="26">
        <f>IF($R70=0,"",COUNTIFS($R$2:$R$401,"&gt;0",$R$2:$R$401,"&lt;"&amp;$R70)+COUNTIFS($R$2:R70,"="&amp;$R70))</f>
        <v/>
      </c>
      <c r="V70" s="26">
        <f>IFERROR(MATCH(ROW()-ROW($V$12),$T$2:$T$401,0),"")</f>
        <v/>
      </c>
    </row>
    <row r="71" ht="22.5" customHeight="1">
      <c r="A71" s="78">
        <f>IF($V71="","",INDEX($R$2:$R$401,$V71))</f>
        <v/>
      </c>
      <c r="B71" s="2">
        <f>IF($V71="","",INDEX(DIAS_SEMANA,WEEKDAY(INDEX($R$2:$R$401,$V71),2)))</f>
        <v/>
      </c>
      <c r="C71" s="2">
        <f>IF($V71="","","Tema "&amp;INDEX($P$2:$P$401,$V71))</f>
        <v/>
      </c>
      <c r="D71" s="69">
        <f>IF($V71="","",INDEX($Q$2:$Q$401,$V71))</f>
        <v/>
      </c>
      <c r="E71" s="2">
        <f>IF($V71="","",IF(INDEX($S$2:$S$401,$V71)&lt;&gt;"",INDEX($S$2:$S$401,$V71),IF(INDEX($R$2:$R$401,$V71)&lt;$B$2,"Vencida",IF(INDEX($R$2:$R$401,$V71)=$B$2,"Hoy","Programada"))))</f>
        <v/>
      </c>
      <c r="P71" s="26" t="n">
        <v>7</v>
      </c>
      <c r="Q71" s="26" t="n">
        <v>10</v>
      </c>
      <c r="R71" s="26">
        <f>INDEX(Progreso!$AZ$2:$BI$41,$P71,$Q71)</f>
        <v/>
      </c>
      <c r="S71" s="18">
        <f>IF(INDEX(Progreso!$AB$2:$AK$41,$P71,$Q71)=0,"",INDEX(Progreso!$AB$2:$AK$41,$P71,$Q71))</f>
        <v/>
      </c>
      <c r="T71" s="26">
        <f>IF($R71=0,"",COUNTIFS($R$2:$R$401,"&gt;0",$R$2:$R$401,"&lt;"&amp;$R71)+COUNTIFS($R$2:R71,"="&amp;$R71))</f>
        <v/>
      </c>
      <c r="V71" s="26">
        <f>IFERROR(MATCH(ROW()-ROW($V$12),$T$2:$T$401,0),"")</f>
        <v/>
      </c>
    </row>
    <row r="72" ht="22.5" customHeight="1">
      <c r="A72" s="85">
        <f>IF($V72="","",INDEX($R$2:$R$401,$V72))</f>
        <v/>
      </c>
      <c r="B72" s="4">
        <f>IF($V72="","",INDEX(DIAS_SEMANA,WEEKDAY(INDEX($R$2:$R$401,$V72),2)))</f>
        <v/>
      </c>
      <c r="C72" s="4">
        <f>IF($V72="","","Tema "&amp;INDEX($P$2:$P$401,$V72))</f>
        <v/>
      </c>
      <c r="D72" s="70">
        <f>IF($V72="","",INDEX($Q$2:$Q$401,$V72))</f>
        <v/>
      </c>
      <c r="E72" s="4">
        <f>IF($V72="","",IF(INDEX($S$2:$S$401,$V72)&lt;&gt;"",INDEX($S$2:$S$401,$V72),IF(INDEX($R$2:$R$401,$V72)&lt;$B$2,"Vencida",IF(INDEX($R$2:$R$401,$V72)=$B$2,"Hoy","Programada"))))</f>
        <v/>
      </c>
      <c r="P72" s="26" t="n">
        <v>8</v>
      </c>
      <c r="Q72" s="26" t="n">
        <v>1</v>
      </c>
      <c r="R72" s="26">
        <f>INDEX(Progreso!$AZ$2:$BI$41,$P72,$Q72)</f>
        <v/>
      </c>
      <c r="S72" s="18">
        <f>IF(INDEX(Progreso!$AB$2:$AK$41,$P72,$Q72)=0,"",INDEX(Progreso!$AB$2:$AK$41,$P72,$Q72))</f>
        <v/>
      </c>
      <c r="T72" s="26">
        <f>IF($R72=0,"",COUNTIFS($R$2:$R$401,"&gt;0",$R$2:$R$401,"&lt;"&amp;$R72)+COUNTIFS($R$2:R72,"="&amp;$R72))</f>
        <v/>
      </c>
      <c r="V72" s="26">
        <f>IFERROR(MATCH(ROW()-ROW($V$12),$T$2:$T$401,0),"")</f>
        <v/>
      </c>
    </row>
    <row r="73" ht="22.5" customHeight="1">
      <c r="A73" s="78">
        <f>IF($V73="","",INDEX($R$2:$R$401,$V73))</f>
        <v/>
      </c>
      <c r="B73" s="2">
        <f>IF($V73="","",INDEX(DIAS_SEMANA,WEEKDAY(INDEX($R$2:$R$401,$V73),2)))</f>
        <v/>
      </c>
      <c r="C73" s="2">
        <f>IF($V73="","","Tema "&amp;INDEX($P$2:$P$401,$V73))</f>
        <v/>
      </c>
      <c r="D73" s="69">
        <f>IF($V73="","",INDEX($Q$2:$Q$401,$V73))</f>
        <v/>
      </c>
      <c r="E73" s="2">
        <f>IF($V73="","",IF(INDEX($S$2:$S$401,$V73)&lt;&gt;"",INDEX($S$2:$S$401,$V73),IF(INDEX($R$2:$R$401,$V73)&lt;$B$2,"Vencida",IF(INDEX($R$2:$R$401,$V73)=$B$2,"Hoy","Programada"))))</f>
        <v/>
      </c>
      <c r="P73" s="26" t="n">
        <v>8</v>
      </c>
      <c r="Q73" s="26" t="n">
        <v>2</v>
      </c>
      <c r="R73" s="26">
        <f>INDEX(Progreso!$AZ$2:$BI$41,$P73,$Q73)</f>
        <v/>
      </c>
      <c r="S73" s="18">
        <f>IF(INDEX(Progreso!$AB$2:$AK$41,$P73,$Q73)=0,"",INDEX(Progreso!$AB$2:$AK$41,$P73,$Q73))</f>
        <v/>
      </c>
      <c r="T73" s="26">
        <f>IF($R73=0,"",COUNTIFS($R$2:$R$401,"&gt;0",$R$2:$R$401,"&lt;"&amp;$R73)+COUNTIFS($R$2:R73,"="&amp;$R73))</f>
        <v/>
      </c>
      <c r="V73" s="26">
        <f>IFERROR(MATCH(ROW()-ROW($V$12),$T$2:$T$401,0),"")</f>
        <v/>
      </c>
    </row>
    <row r="74" ht="22.5" customHeight="1">
      <c r="A74" s="85">
        <f>IF($V74="","",INDEX($R$2:$R$401,$V74))</f>
        <v/>
      </c>
      <c r="B74" s="4">
        <f>IF($V74="","",INDEX(DIAS_SEMANA,WEEKDAY(INDEX($R$2:$R$401,$V74),2)))</f>
        <v/>
      </c>
      <c r="C74" s="4">
        <f>IF($V74="","","Tema "&amp;INDEX($P$2:$P$401,$V74))</f>
        <v/>
      </c>
      <c r="D74" s="70">
        <f>IF($V74="","",INDEX($Q$2:$Q$401,$V74))</f>
        <v/>
      </c>
      <c r="E74" s="4">
        <f>IF($V74="","",IF(INDEX($S$2:$S$401,$V74)&lt;&gt;"",INDEX($S$2:$S$401,$V74),IF(INDEX($R$2:$R$401,$V74)&lt;$B$2,"Vencida",IF(INDEX($R$2:$R$401,$V74)=$B$2,"Hoy","Programada"))))</f>
        <v/>
      </c>
      <c r="P74" s="26" t="n">
        <v>8</v>
      </c>
      <c r="Q74" s="26" t="n">
        <v>3</v>
      </c>
      <c r="R74" s="26">
        <f>INDEX(Progreso!$AZ$2:$BI$41,$P74,$Q74)</f>
        <v/>
      </c>
      <c r="S74" s="18">
        <f>IF(INDEX(Progreso!$AB$2:$AK$41,$P74,$Q74)=0,"",INDEX(Progreso!$AB$2:$AK$41,$P74,$Q74))</f>
        <v/>
      </c>
      <c r="T74" s="26">
        <f>IF($R74=0,"",COUNTIFS($R$2:$R$401,"&gt;0",$R$2:$R$401,"&lt;"&amp;$R74)+COUNTIFS($R$2:R74,"="&amp;$R74))</f>
        <v/>
      </c>
      <c r="V74" s="26">
        <f>IFERROR(MATCH(ROW()-ROW($V$12),$T$2:$T$401,0),"")</f>
        <v/>
      </c>
    </row>
    <row r="75" ht="22.5" customHeight="1">
      <c r="A75" s="78">
        <f>IF($V75="","",INDEX($R$2:$R$401,$V75))</f>
        <v/>
      </c>
      <c r="B75" s="2">
        <f>IF($V75="","",INDEX(DIAS_SEMANA,WEEKDAY(INDEX($R$2:$R$401,$V75),2)))</f>
        <v/>
      </c>
      <c r="C75" s="2">
        <f>IF($V75="","","Tema "&amp;INDEX($P$2:$P$401,$V75))</f>
        <v/>
      </c>
      <c r="D75" s="69">
        <f>IF($V75="","",INDEX($Q$2:$Q$401,$V75))</f>
        <v/>
      </c>
      <c r="E75" s="2">
        <f>IF($V75="","",IF(INDEX($S$2:$S$401,$V75)&lt;&gt;"",INDEX($S$2:$S$401,$V75),IF(INDEX($R$2:$R$401,$V75)&lt;$B$2,"Vencida",IF(INDEX($R$2:$R$401,$V75)=$B$2,"Hoy","Programada"))))</f>
        <v/>
      </c>
      <c r="P75" s="26" t="n">
        <v>8</v>
      </c>
      <c r="Q75" s="26" t="n">
        <v>4</v>
      </c>
      <c r="R75" s="26">
        <f>INDEX(Progreso!$AZ$2:$BI$41,$P75,$Q75)</f>
        <v/>
      </c>
      <c r="S75" s="18">
        <f>IF(INDEX(Progreso!$AB$2:$AK$41,$P75,$Q75)=0,"",INDEX(Progreso!$AB$2:$AK$41,$P75,$Q75))</f>
        <v/>
      </c>
      <c r="T75" s="26">
        <f>IF($R75=0,"",COUNTIFS($R$2:$R$401,"&gt;0",$R$2:$R$401,"&lt;"&amp;$R75)+COUNTIFS($R$2:R75,"="&amp;$R75))</f>
        <v/>
      </c>
      <c r="V75" s="26">
        <f>IFERROR(MATCH(ROW()-ROW($V$12),$T$2:$T$401,0),"")</f>
        <v/>
      </c>
    </row>
    <row r="76" ht="22.5" customHeight="1">
      <c r="A76" s="85">
        <f>IF($V76="","",INDEX($R$2:$R$401,$V76))</f>
        <v/>
      </c>
      <c r="B76" s="4">
        <f>IF($V76="","",INDEX(DIAS_SEMANA,WEEKDAY(INDEX($R$2:$R$401,$V76),2)))</f>
        <v/>
      </c>
      <c r="C76" s="4">
        <f>IF($V76="","","Tema "&amp;INDEX($P$2:$P$401,$V76))</f>
        <v/>
      </c>
      <c r="D76" s="70">
        <f>IF($V76="","",INDEX($Q$2:$Q$401,$V76))</f>
        <v/>
      </c>
      <c r="E76" s="4">
        <f>IF($V76="","",IF(INDEX($S$2:$S$401,$V76)&lt;&gt;"",INDEX($S$2:$S$401,$V76),IF(INDEX($R$2:$R$401,$V76)&lt;$B$2,"Vencida",IF(INDEX($R$2:$R$401,$V76)=$B$2,"Hoy","Programada"))))</f>
        <v/>
      </c>
      <c r="P76" s="26" t="n">
        <v>8</v>
      </c>
      <c r="Q76" s="26" t="n">
        <v>5</v>
      </c>
      <c r="R76" s="26">
        <f>INDEX(Progreso!$AZ$2:$BI$41,$P76,$Q76)</f>
        <v/>
      </c>
      <c r="S76" s="18">
        <f>IF(INDEX(Progreso!$AB$2:$AK$41,$P76,$Q76)=0,"",INDEX(Progreso!$AB$2:$AK$41,$P76,$Q76))</f>
        <v/>
      </c>
      <c r="T76" s="26">
        <f>IF($R76=0,"",COUNTIFS($R$2:$R$401,"&gt;0",$R$2:$R$401,"&lt;"&amp;$R76)+COUNTIFS($R$2:R76,"="&amp;$R76))</f>
        <v/>
      </c>
      <c r="V76" s="26">
        <f>IFERROR(MATCH(ROW()-ROW($V$12),$T$2:$T$401,0),"")</f>
        <v/>
      </c>
    </row>
    <row r="77" ht="22.5" customHeight="1">
      <c r="A77" s="78">
        <f>IF($V77="","",INDEX($R$2:$R$401,$V77))</f>
        <v/>
      </c>
      <c r="B77" s="2">
        <f>IF($V77="","",INDEX(DIAS_SEMANA,WEEKDAY(INDEX($R$2:$R$401,$V77),2)))</f>
        <v/>
      </c>
      <c r="C77" s="2">
        <f>IF($V77="","","Tema "&amp;INDEX($P$2:$P$401,$V77))</f>
        <v/>
      </c>
      <c r="D77" s="69">
        <f>IF($V77="","",INDEX($Q$2:$Q$401,$V77))</f>
        <v/>
      </c>
      <c r="E77" s="2">
        <f>IF($V77="","",IF(INDEX($S$2:$S$401,$V77)&lt;&gt;"",INDEX($S$2:$S$401,$V77),IF(INDEX($R$2:$R$401,$V77)&lt;$B$2,"Vencida",IF(INDEX($R$2:$R$401,$V77)=$B$2,"Hoy","Programada"))))</f>
        <v/>
      </c>
      <c r="P77" s="26" t="n">
        <v>8</v>
      </c>
      <c r="Q77" s="26" t="n">
        <v>6</v>
      </c>
      <c r="R77" s="26">
        <f>INDEX(Progreso!$AZ$2:$BI$41,$P77,$Q77)</f>
        <v/>
      </c>
      <c r="S77" s="18">
        <f>IF(INDEX(Progreso!$AB$2:$AK$41,$P77,$Q77)=0,"",INDEX(Progreso!$AB$2:$AK$41,$P77,$Q77))</f>
        <v/>
      </c>
      <c r="T77" s="26">
        <f>IF($R77=0,"",COUNTIFS($R$2:$R$401,"&gt;0",$R$2:$R$401,"&lt;"&amp;$R77)+COUNTIFS($R$2:R77,"="&amp;$R77))</f>
        <v/>
      </c>
      <c r="V77" s="26">
        <f>IFERROR(MATCH(ROW()-ROW($V$12),$T$2:$T$401,0),"")</f>
        <v/>
      </c>
    </row>
    <row r="78" ht="22.5" customHeight="1">
      <c r="A78" s="85">
        <f>IF($V78="","",INDEX($R$2:$R$401,$V78))</f>
        <v/>
      </c>
      <c r="B78" s="4">
        <f>IF($V78="","",INDEX(DIAS_SEMANA,WEEKDAY(INDEX($R$2:$R$401,$V78),2)))</f>
        <v/>
      </c>
      <c r="C78" s="4">
        <f>IF($V78="","","Tema "&amp;INDEX($P$2:$P$401,$V78))</f>
        <v/>
      </c>
      <c r="D78" s="70">
        <f>IF($V78="","",INDEX($Q$2:$Q$401,$V78))</f>
        <v/>
      </c>
      <c r="E78" s="4">
        <f>IF($V78="","",IF(INDEX($S$2:$S$401,$V78)&lt;&gt;"",INDEX($S$2:$S$401,$V78),IF(INDEX($R$2:$R$401,$V78)&lt;$B$2,"Vencida",IF(INDEX($R$2:$R$401,$V78)=$B$2,"Hoy","Programada"))))</f>
        <v/>
      </c>
      <c r="P78" s="26" t="n">
        <v>8</v>
      </c>
      <c r="Q78" s="26" t="n">
        <v>7</v>
      </c>
      <c r="R78" s="26">
        <f>INDEX(Progreso!$AZ$2:$BI$41,$P78,$Q78)</f>
        <v/>
      </c>
      <c r="S78" s="18">
        <f>IF(INDEX(Progreso!$AB$2:$AK$41,$P78,$Q78)=0,"",INDEX(Progreso!$AB$2:$AK$41,$P78,$Q78))</f>
        <v/>
      </c>
      <c r="T78" s="26">
        <f>IF($R78=0,"",COUNTIFS($R$2:$R$401,"&gt;0",$R$2:$R$401,"&lt;"&amp;$R78)+COUNTIFS($R$2:R78,"="&amp;$R78))</f>
        <v/>
      </c>
      <c r="V78" s="26">
        <f>IFERROR(MATCH(ROW()-ROW($V$12),$T$2:$T$401,0),"")</f>
        <v/>
      </c>
    </row>
    <row r="79" ht="22.5" customHeight="1">
      <c r="A79" s="78">
        <f>IF($V79="","",INDEX($R$2:$R$401,$V79))</f>
        <v/>
      </c>
      <c r="B79" s="2">
        <f>IF($V79="","",INDEX(DIAS_SEMANA,WEEKDAY(INDEX($R$2:$R$401,$V79),2)))</f>
        <v/>
      </c>
      <c r="C79" s="2">
        <f>IF($V79="","","Tema "&amp;INDEX($P$2:$P$401,$V79))</f>
        <v/>
      </c>
      <c r="D79" s="69">
        <f>IF($V79="","",INDEX($Q$2:$Q$401,$V79))</f>
        <v/>
      </c>
      <c r="E79" s="2">
        <f>IF($V79="","",IF(INDEX($S$2:$S$401,$V79)&lt;&gt;"",INDEX($S$2:$S$401,$V79),IF(INDEX($R$2:$R$401,$V79)&lt;$B$2,"Vencida",IF(INDEX($R$2:$R$401,$V79)=$B$2,"Hoy","Programada"))))</f>
        <v/>
      </c>
      <c r="P79" s="26" t="n">
        <v>8</v>
      </c>
      <c r="Q79" s="26" t="n">
        <v>8</v>
      </c>
      <c r="R79" s="26">
        <f>INDEX(Progreso!$AZ$2:$BI$41,$P79,$Q79)</f>
        <v/>
      </c>
      <c r="S79" s="18">
        <f>IF(INDEX(Progreso!$AB$2:$AK$41,$P79,$Q79)=0,"",INDEX(Progreso!$AB$2:$AK$41,$P79,$Q79))</f>
        <v/>
      </c>
      <c r="T79" s="26">
        <f>IF($R79=0,"",COUNTIFS($R$2:$R$401,"&gt;0",$R$2:$R$401,"&lt;"&amp;$R79)+COUNTIFS($R$2:R79,"="&amp;$R79))</f>
        <v/>
      </c>
      <c r="V79" s="26">
        <f>IFERROR(MATCH(ROW()-ROW($V$12),$T$2:$T$401,0),"")</f>
        <v/>
      </c>
    </row>
    <row r="80" ht="22.5" customHeight="1">
      <c r="A80" s="85">
        <f>IF($V80="","",INDEX($R$2:$R$401,$V80))</f>
        <v/>
      </c>
      <c r="B80" s="4">
        <f>IF($V80="","",INDEX(DIAS_SEMANA,WEEKDAY(INDEX($R$2:$R$401,$V80),2)))</f>
        <v/>
      </c>
      <c r="C80" s="4">
        <f>IF($V80="","","Tema "&amp;INDEX($P$2:$P$401,$V80))</f>
        <v/>
      </c>
      <c r="D80" s="70">
        <f>IF($V80="","",INDEX($Q$2:$Q$401,$V80))</f>
        <v/>
      </c>
      <c r="E80" s="4">
        <f>IF($V80="","",IF(INDEX($S$2:$S$401,$V80)&lt;&gt;"",INDEX($S$2:$S$401,$V80),IF(INDEX($R$2:$R$401,$V80)&lt;$B$2,"Vencida",IF(INDEX($R$2:$R$401,$V80)=$B$2,"Hoy","Programada"))))</f>
        <v/>
      </c>
      <c r="P80" s="26" t="n">
        <v>8</v>
      </c>
      <c r="Q80" s="26" t="n">
        <v>9</v>
      </c>
      <c r="R80" s="26">
        <f>INDEX(Progreso!$AZ$2:$BI$41,$P80,$Q80)</f>
        <v/>
      </c>
      <c r="S80" s="18">
        <f>IF(INDEX(Progreso!$AB$2:$AK$41,$P80,$Q80)=0,"",INDEX(Progreso!$AB$2:$AK$41,$P80,$Q80))</f>
        <v/>
      </c>
      <c r="T80" s="26">
        <f>IF($R80=0,"",COUNTIFS($R$2:$R$401,"&gt;0",$R$2:$R$401,"&lt;"&amp;$R80)+COUNTIFS($R$2:R80,"="&amp;$R80))</f>
        <v/>
      </c>
      <c r="V80" s="26">
        <f>IFERROR(MATCH(ROW()-ROW($V$12),$T$2:$T$401,0),"")</f>
        <v/>
      </c>
    </row>
    <row r="81" ht="22.5" customHeight="1">
      <c r="A81" s="78">
        <f>IF($V81="","",INDEX($R$2:$R$401,$V81))</f>
        <v/>
      </c>
      <c r="B81" s="2">
        <f>IF($V81="","",INDEX(DIAS_SEMANA,WEEKDAY(INDEX($R$2:$R$401,$V81),2)))</f>
        <v/>
      </c>
      <c r="C81" s="2">
        <f>IF($V81="","","Tema "&amp;INDEX($P$2:$P$401,$V81))</f>
        <v/>
      </c>
      <c r="D81" s="69">
        <f>IF($V81="","",INDEX($Q$2:$Q$401,$V81))</f>
        <v/>
      </c>
      <c r="E81" s="2">
        <f>IF($V81="","",IF(INDEX($S$2:$S$401,$V81)&lt;&gt;"",INDEX($S$2:$S$401,$V81),IF(INDEX($R$2:$R$401,$V81)&lt;$B$2,"Vencida",IF(INDEX($R$2:$R$401,$V81)=$B$2,"Hoy","Programada"))))</f>
        <v/>
      </c>
      <c r="P81" s="26" t="n">
        <v>8</v>
      </c>
      <c r="Q81" s="26" t="n">
        <v>10</v>
      </c>
      <c r="R81" s="26">
        <f>INDEX(Progreso!$AZ$2:$BI$41,$P81,$Q81)</f>
        <v/>
      </c>
      <c r="S81" s="18">
        <f>IF(INDEX(Progreso!$AB$2:$AK$41,$P81,$Q81)=0,"",INDEX(Progreso!$AB$2:$AK$41,$P81,$Q81))</f>
        <v/>
      </c>
      <c r="T81" s="26">
        <f>IF($R81=0,"",COUNTIFS($R$2:$R$401,"&gt;0",$R$2:$R$401,"&lt;"&amp;$R81)+COUNTIFS($R$2:R81,"="&amp;$R81))</f>
        <v/>
      </c>
      <c r="V81" s="26">
        <f>IFERROR(MATCH(ROW()-ROW($V$12),$T$2:$T$401,0),"")</f>
        <v/>
      </c>
    </row>
    <row r="82" ht="22.5" customHeight="1">
      <c r="A82" s="85">
        <f>IF($V82="","",INDEX($R$2:$R$401,$V82))</f>
        <v/>
      </c>
      <c r="B82" s="4">
        <f>IF($V82="","",INDEX(DIAS_SEMANA,WEEKDAY(INDEX($R$2:$R$401,$V82),2)))</f>
        <v/>
      </c>
      <c r="C82" s="4">
        <f>IF($V82="","","Tema "&amp;INDEX($P$2:$P$401,$V82))</f>
        <v/>
      </c>
      <c r="D82" s="70">
        <f>IF($V82="","",INDEX($Q$2:$Q$401,$V82))</f>
        <v/>
      </c>
      <c r="E82" s="4">
        <f>IF($V82="","",IF(INDEX($S$2:$S$401,$V82)&lt;&gt;"",INDEX($S$2:$S$401,$V82),IF(INDEX($R$2:$R$401,$V82)&lt;$B$2,"Vencida",IF(INDEX($R$2:$R$401,$V82)=$B$2,"Hoy","Programada"))))</f>
        <v/>
      </c>
      <c r="P82" s="26" t="n">
        <v>9</v>
      </c>
      <c r="Q82" s="26" t="n">
        <v>1</v>
      </c>
      <c r="R82" s="26">
        <f>INDEX(Progreso!$AZ$2:$BI$41,$P82,$Q82)</f>
        <v/>
      </c>
      <c r="S82" s="18">
        <f>IF(INDEX(Progreso!$AB$2:$AK$41,$P82,$Q82)=0,"",INDEX(Progreso!$AB$2:$AK$41,$P82,$Q82))</f>
        <v/>
      </c>
      <c r="T82" s="26">
        <f>IF($R82=0,"",COUNTIFS($R$2:$R$401,"&gt;0",$R$2:$R$401,"&lt;"&amp;$R82)+COUNTIFS($R$2:R82,"="&amp;$R82))</f>
        <v/>
      </c>
      <c r="V82" s="26">
        <f>IFERROR(MATCH(ROW()-ROW($V$12),$T$2:$T$401,0),"")</f>
        <v/>
      </c>
    </row>
    <row r="83" ht="22.5" customHeight="1">
      <c r="A83" s="78">
        <f>IF($V83="","",INDEX($R$2:$R$401,$V83))</f>
        <v/>
      </c>
      <c r="B83" s="2">
        <f>IF($V83="","",INDEX(DIAS_SEMANA,WEEKDAY(INDEX($R$2:$R$401,$V83),2)))</f>
        <v/>
      </c>
      <c r="C83" s="2">
        <f>IF($V83="","","Tema "&amp;INDEX($P$2:$P$401,$V83))</f>
        <v/>
      </c>
      <c r="D83" s="69">
        <f>IF($V83="","",INDEX($Q$2:$Q$401,$V83))</f>
        <v/>
      </c>
      <c r="E83" s="2">
        <f>IF($V83="","",IF(INDEX($S$2:$S$401,$V83)&lt;&gt;"",INDEX($S$2:$S$401,$V83),IF(INDEX($R$2:$R$401,$V83)&lt;$B$2,"Vencida",IF(INDEX($R$2:$R$401,$V83)=$B$2,"Hoy","Programada"))))</f>
        <v/>
      </c>
      <c r="P83" s="26" t="n">
        <v>9</v>
      </c>
      <c r="Q83" s="26" t="n">
        <v>2</v>
      </c>
      <c r="R83" s="26">
        <f>INDEX(Progreso!$AZ$2:$BI$41,$P83,$Q83)</f>
        <v/>
      </c>
      <c r="S83" s="18">
        <f>IF(INDEX(Progreso!$AB$2:$AK$41,$P83,$Q83)=0,"",INDEX(Progreso!$AB$2:$AK$41,$P83,$Q83))</f>
        <v/>
      </c>
      <c r="T83" s="26">
        <f>IF($R83=0,"",COUNTIFS($R$2:$R$401,"&gt;0",$R$2:$R$401,"&lt;"&amp;$R83)+COUNTIFS($R$2:R83,"="&amp;$R83))</f>
        <v/>
      </c>
      <c r="V83" s="26">
        <f>IFERROR(MATCH(ROW()-ROW($V$12),$T$2:$T$401,0),"")</f>
        <v/>
      </c>
    </row>
    <row r="84" ht="22.5" customHeight="1">
      <c r="A84" s="85">
        <f>IF($V84="","",INDEX($R$2:$R$401,$V84))</f>
        <v/>
      </c>
      <c r="B84" s="4">
        <f>IF($V84="","",INDEX(DIAS_SEMANA,WEEKDAY(INDEX($R$2:$R$401,$V84),2)))</f>
        <v/>
      </c>
      <c r="C84" s="4">
        <f>IF($V84="","","Tema "&amp;INDEX($P$2:$P$401,$V84))</f>
        <v/>
      </c>
      <c r="D84" s="70">
        <f>IF($V84="","",INDEX($Q$2:$Q$401,$V84))</f>
        <v/>
      </c>
      <c r="E84" s="4">
        <f>IF($V84="","",IF(INDEX($S$2:$S$401,$V84)&lt;&gt;"",INDEX($S$2:$S$401,$V84),IF(INDEX($R$2:$R$401,$V84)&lt;$B$2,"Vencida",IF(INDEX($R$2:$R$401,$V84)=$B$2,"Hoy","Programada"))))</f>
        <v/>
      </c>
      <c r="P84" s="26" t="n">
        <v>9</v>
      </c>
      <c r="Q84" s="26" t="n">
        <v>3</v>
      </c>
      <c r="R84" s="26">
        <f>INDEX(Progreso!$AZ$2:$BI$41,$P84,$Q84)</f>
        <v/>
      </c>
      <c r="S84" s="18">
        <f>IF(INDEX(Progreso!$AB$2:$AK$41,$P84,$Q84)=0,"",INDEX(Progreso!$AB$2:$AK$41,$P84,$Q84))</f>
        <v/>
      </c>
      <c r="T84" s="26">
        <f>IF($R84=0,"",COUNTIFS($R$2:$R$401,"&gt;0",$R$2:$R$401,"&lt;"&amp;$R84)+COUNTIFS($R$2:R84,"="&amp;$R84))</f>
        <v/>
      </c>
      <c r="V84" s="26">
        <f>IFERROR(MATCH(ROW()-ROW($V$12),$T$2:$T$401,0),"")</f>
        <v/>
      </c>
    </row>
    <row r="85" ht="22.5" customHeight="1">
      <c r="A85" s="78">
        <f>IF($V85="","",INDEX($R$2:$R$401,$V85))</f>
        <v/>
      </c>
      <c r="B85" s="2">
        <f>IF($V85="","",INDEX(DIAS_SEMANA,WEEKDAY(INDEX($R$2:$R$401,$V85),2)))</f>
        <v/>
      </c>
      <c r="C85" s="2">
        <f>IF($V85="","","Tema "&amp;INDEX($P$2:$P$401,$V85))</f>
        <v/>
      </c>
      <c r="D85" s="69">
        <f>IF($V85="","",INDEX($Q$2:$Q$401,$V85))</f>
        <v/>
      </c>
      <c r="E85" s="2">
        <f>IF($V85="","",IF(INDEX($S$2:$S$401,$V85)&lt;&gt;"",INDEX($S$2:$S$401,$V85),IF(INDEX($R$2:$R$401,$V85)&lt;$B$2,"Vencida",IF(INDEX($R$2:$R$401,$V85)=$B$2,"Hoy","Programada"))))</f>
        <v/>
      </c>
      <c r="P85" s="26" t="n">
        <v>9</v>
      </c>
      <c r="Q85" s="26" t="n">
        <v>4</v>
      </c>
      <c r="R85" s="26">
        <f>INDEX(Progreso!$AZ$2:$BI$41,$P85,$Q85)</f>
        <v/>
      </c>
      <c r="S85" s="18">
        <f>IF(INDEX(Progreso!$AB$2:$AK$41,$P85,$Q85)=0,"",INDEX(Progreso!$AB$2:$AK$41,$P85,$Q85))</f>
        <v/>
      </c>
      <c r="T85" s="26">
        <f>IF($R85=0,"",COUNTIFS($R$2:$R$401,"&gt;0",$R$2:$R$401,"&lt;"&amp;$R85)+COUNTIFS($R$2:R85,"="&amp;$R85))</f>
        <v/>
      </c>
      <c r="V85" s="26">
        <f>IFERROR(MATCH(ROW()-ROW($V$12),$T$2:$T$401,0),"")</f>
        <v/>
      </c>
    </row>
    <row r="86" ht="22.5" customHeight="1">
      <c r="A86" s="85">
        <f>IF($V86="","",INDEX($R$2:$R$401,$V86))</f>
        <v/>
      </c>
      <c r="B86" s="4">
        <f>IF($V86="","",INDEX(DIAS_SEMANA,WEEKDAY(INDEX($R$2:$R$401,$V86),2)))</f>
        <v/>
      </c>
      <c r="C86" s="4">
        <f>IF($V86="","","Tema "&amp;INDEX($P$2:$P$401,$V86))</f>
        <v/>
      </c>
      <c r="D86" s="70">
        <f>IF($V86="","",INDEX($Q$2:$Q$401,$V86))</f>
        <v/>
      </c>
      <c r="E86" s="4">
        <f>IF($V86="","",IF(INDEX($S$2:$S$401,$V86)&lt;&gt;"",INDEX($S$2:$S$401,$V86),IF(INDEX($R$2:$R$401,$V86)&lt;$B$2,"Vencida",IF(INDEX($R$2:$R$401,$V86)=$B$2,"Hoy","Programada"))))</f>
        <v/>
      </c>
      <c r="P86" s="26" t="n">
        <v>9</v>
      </c>
      <c r="Q86" s="26" t="n">
        <v>5</v>
      </c>
      <c r="R86" s="26">
        <f>INDEX(Progreso!$AZ$2:$BI$41,$P86,$Q86)</f>
        <v/>
      </c>
      <c r="S86" s="18">
        <f>IF(INDEX(Progreso!$AB$2:$AK$41,$P86,$Q86)=0,"",INDEX(Progreso!$AB$2:$AK$41,$P86,$Q86))</f>
        <v/>
      </c>
      <c r="T86" s="26">
        <f>IF($R86=0,"",COUNTIFS($R$2:$R$401,"&gt;0",$R$2:$R$401,"&lt;"&amp;$R86)+COUNTIFS($R$2:R86,"="&amp;$R86))</f>
        <v/>
      </c>
      <c r="V86" s="26">
        <f>IFERROR(MATCH(ROW()-ROW($V$12),$T$2:$T$401,0),"")</f>
        <v/>
      </c>
    </row>
    <row r="87" ht="22.5" customHeight="1">
      <c r="A87" s="78">
        <f>IF($V87="","",INDEX($R$2:$R$401,$V87))</f>
        <v/>
      </c>
      <c r="B87" s="2">
        <f>IF($V87="","",INDEX(DIAS_SEMANA,WEEKDAY(INDEX($R$2:$R$401,$V87),2)))</f>
        <v/>
      </c>
      <c r="C87" s="2">
        <f>IF($V87="","","Tema "&amp;INDEX($P$2:$P$401,$V87))</f>
        <v/>
      </c>
      <c r="D87" s="69">
        <f>IF($V87="","",INDEX($Q$2:$Q$401,$V87))</f>
        <v/>
      </c>
      <c r="E87" s="2">
        <f>IF($V87="","",IF(INDEX($S$2:$S$401,$V87)&lt;&gt;"",INDEX($S$2:$S$401,$V87),IF(INDEX($R$2:$R$401,$V87)&lt;$B$2,"Vencida",IF(INDEX($R$2:$R$401,$V87)=$B$2,"Hoy","Programada"))))</f>
        <v/>
      </c>
      <c r="P87" s="26" t="n">
        <v>9</v>
      </c>
      <c r="Q87" s="26" t="n">
        <v>6</v>
      </c>
      <c r="R87" s="26">
        <f>INDEX(Progreso!$AZ$2:$BI$41,$P87,$Q87)</f>
        <v/>
      </c>
      <c r="S87" s="18">
        <f>IF(INDEX(Progreso!$AB$2:$AK$41,$P87,$Q87)=0,"",INDEX(Progreso!$AB$2:$AK$41,$P87,$Q87))</f>
        <v/>
      </c>
      <c r="T87" s="26">
        <f>IF($R87=0,"",COUNTIFS($R$2:$R$401,"&gt;0",$R$2:$R$401,"&lt;"&amp;$R87)+COUNTIFS($R$2:R87,"="&amp;$R87))</f>
        <v/>
      </c>
      <c r="V87" s="26">
        <f>IFERROR(MATCH(ROW()-ROW($V$12),$T$2:$T$401,0),"")</f>
        <v/>
      </c>
    </row>
    <row r="88" ht="22.5" customHeight="1">
      <c r="A88" s="85">
        <f>IF($V88="","",INDEX($R$2:$R$401,$V88))</f>
        <v/>
      </c>
      <c r="B88" s="4">
        <f>IF($V88="","",INDEX(DIAS_SEMANA,WEEKDAY(INDEX($R$2:$R$401,$V88),2)))</f>
        <v/>
      </c>
      <c r="C88" s="4">
        <f>IF($V88="","","Tema "&amp;INDEX($P$2:$P$401,$V88))</f>
        <v/>
      </c>
      <c r="D88" s="70">
        <f>IF($V88="","",INDEX($Q$2:$Q$401,$V88))</f>
        <v/>
      </c>
      <c r="E88" s="4">
        <f>IF($V88="","",IF(INDEX($S$2:$S$401,$V88)&lt;&gt;"",INDEX($S$2:$S$401,$V88),IF(INDEX($R$2:$R$401,$V88)&lt;$B$2,"Vencida",IF(INDEX($R$2:$R$401,$V88)=$B$2,"Hoy","Programada"))))</f>
        <v/>
      </c>
      <c r="P88" s="26" t="n">
        <v>9</v>
      </c>
      <c r="Q88" s="26" t="n">
        <v>7</v>
      </c>
      <c r="R88" s="26">
        <f>INDEX(Progreso!$AZ$2:$BI$41,$P88,$Q88)</f>
        <v/>
      </c>
      <c r="S88" s="18">
        <f>IF(INDEX(Progreso!$AB$2:$AK$41,$P88,$Q88)=0,"",INDEX(Progreso!$AB$2:$AK$41,$P88,$Q88))</f>
        <v/>
      </c>
      <c r="T88" s="26">
        <f>IF($R88=0,"",COUNTIFS($R$2:$R$401,"&gt;0",$R$2:$R$401,"&lt;"&amp;$R88)+COUNTIFS($R$2:R88,"="&amp;$R88))</f>
        <v/>
      </c>
      <c r="V88" s="26">
        <f>IFERROR(MATCH(ROW()-ROW($V$12),$T$2:$T$401,0),"")</f>
        <v/>
      </c>
    </row>
    <row r="89" ht="22.5" customHeight="1">
      <c r="A89" s="78">
        <f>IF($V89="","",INDEX($R$2:$R$401,$V89))</f>
        <v/>
      </c>
      <c r="B89" s="2">
        <f>IF($V89="","",INDEX(DIAS_SEMANA,WEEKDAY(INDEX($R$2:$R$401,$V89),2)))</f>
        <v/>
      </c>
      <c r="C89" s="2">
        <f>IF($V89="","","Tema "&amp;INDEX($P$2:$P$401,$V89))</f>
        <v/>
      </c>
      <c r="D89" s="69">
        <f>IF($V89="","",INDEX($Q$2:$Q$401,$V89))</f>
        <v/>
      </c>
      <c r="E89" s="2">
        <f>IF($V89="","",IF(INDEX($S$2:$S$401,$V89)&lt;&gt;"",INDEX($S$2:$S$401,$V89),IF(INDEX($R$2:$R$401,$V89)&lt;$B$2,"Vencida",IF(INDEX($R$2:$R$401,$V89)=$B$2,"Hoy","Programada"))))</f>
        <v/>
      </c>
      <c r="P89" s="26" t="n">
        <v>9</v>
      </c>
      <c r="Q89" s="26" t="n">
        <v>8</v>
      </c>
      <c r="R89" s="26">
        <f>INDEX(Progreso!$AZ$2:$BI$41,$P89,$Q89)</f>
        <v/>
      </c>
      <c r="S89" s="18">
        <f>IF(INDEX(Progreso!$AB$2:$AK$41,$P89,$Q89)=0,"",INDEX(Progreso!$AB$2:$AK$41,$P89,$Q89))</f>
        <v/>
      </c>
      <c r="T89" s="26">
        <f>IF($R89=0,"",COUNTIFS($R$2:$R$401,"&gt;0",$R$2:$R$401,"&lt;"&amp;$R89)+COUNTIFS($R$2:R89,"="&amp;$R89))</f>
        <v/>
      </c>
      <c r="V89" s="26">
        <f>IFERROR(MATCH(ROW()-ROW($V$12),$T$2:$T$401,0),"")</f>
        <v/>
      </c>
    </row>
    <row r="90" ht="22.5" customHeight="1">
      <c r="A90" s="85">
        <f>IF($V90="","",INDEX($R$2:$R$401,$V90))</f>
        <v/>
      </c>
      <c r="B90" s="4">
        <f>IF($V90="","",INDEX(DIAS_SEMANA,WEEKDAY(INDEX($R$2:$R$401,$V90),2)))</f>
        <v/>
      </c>
      <c r="C90" s="4">
        <f>IF($V90="","","Tema "&amp;INDEX($P$2:$P$401,$V90))</f>
        <v/>
      </c>
      <c r="D90" s="70">
        <f>IF($V90="","",INDEX($Q$2:$Q$401,$V90))</f>
        <v/>
      </c>
      <c r="E90" s="4">
        <f>IF($V90="","",IF(INDEX($S$2:$S$401,$V90)&lt;&gt;"",INDEX($S$2:$S$401,$V90),IF(INDEX($R$2:$R$401,$V90)&lt;$B$2,"Vencida",IF(INDEX($R$2:$R$401,$V90)=$B$2,"Hoy","Programada"))))</f>
        <v/>
      </c>
      <c r="P90" s="26" t="n">
        <v>9</v>
      </c>
      <c r="Q90" s="26" t="n">
        <v>9</v>
      </c>
      <c r="R90" s="26">
        <f>INDEX(Progreso!$AZ$2:$BI$41,$P90,$Q90)</f>
        <v/>
      </c>
      <c r="S90" s="18">
        <f>IF(INDEX(Progreso!$AB$2:$AK$41,$P90,$Q90)=0,"",INDEX(Progreso!$AB$2:$AK$41,$P90,$Q90))</f>
        <v/>
      </c>
      <c r="T90" s="26">
        <f>IF($R90=0,"",COUNTIFS($R$2:$R$401,"&gt;0",$R$2:$R$401,"&lt;"&amp;$R90)+COUNTIFS($R$2:R90,"="&amp;$R90))</f>
        <v/>
      </c>
      <c r="V90" s="26">
        <f>IFERROR(MATCH(ROW()-ROW($V$12),$T$2:$T$401,0),"")</f>
        <v/>
      </c>
    </row>
    <row r="91" ht="22.5" customHeight="1">
      <c r="A91" s="78">
        <f>IF($V91="","",INDEX($R$2:$R$401,$V91))</f>
        <v/>
      </c>
      <c r="B91" s="2">
        <f>IF($V91="","",INDEX(DIAS_SEMANA,WEEKDAY(INDEX($R$2:$R$401,$V91),2)))</f>
        <v/>
      </c>
      <c r="C91" s="2">
        <f>IF($V91="","","Tema "&amp;INDEX($P$2:$P$401,$V91))</f>
        <v/>
      </c>
      <c r="D91" s="69">
        <f>IF($V91="","",INDEX($Q$2:$Q$401,$V91))</f>
        <v/>
      </c>
      <c r="E91" s="2">
        <f>IF($V91="","",IF(INDEX($S$2:$S$401,$V91)&lt;&gt;"",INDEX($S$2:$S$401,$V91),IF(INDEX($R$2:$R$401,$V91)&lt;$B$2,"Vencida",IF(INDEX($R$2:$R$401,$V91)=$B$2,"Hoy","Programada"))))</f>
        <v/>
      </c>
      <c r="P91" s="26" t="n">
        <v>9</v>
      </c>
      <c r="Q91" s="26" t="n">
        <v>10</v>
      </c>
      <c r="R91" s="26">
        <f>INDEX(Progreso!$AZ$2:$BI$41,$P91,$Q91)</f>
        <v/>
      </c>
      <c r="S91" s="18">
        <f>IF(INDEX(Progreso!$AB$2:$AK$41,$P91,$Q91)=0,"",INDEX(Progreso!$AB$2:$AK$41,$P91,$Q91))</f>
        <v/>
      </c>
      <c r="T91" s="26">
        <f>IF($R91=0,"",COUNTIFS($R$2:$R$401,"&gt;0",$R$2:$R$401,"&lt;"&amp;$R91)+COUNTIFS($R$2:R91,"="&amp;$R91))</f>
        <v/>
      </c>
      <c r="V91" s="26">
        <f>IFERROR(MATCH(ROW()-ROW($V$12),$T$2:$T$401,0),"")</f>
        <v/>
      </c>
    </row>
    <row r="92" ht="22.5" customHeight="1">
      <c r="A92" s="85">
        <f>IF($V92="","",INDEX($R$2:$R$401,$V92))</f>
        <v/>
      </c>
      <c r="B92" s="4">
        <f>IF($V92="","",INDEX(DIAS_SEMANA,WEEKDAY(INDEX($R$2:$R$401,$V92),2)))</f>
        <v/>
      </c>
      <c r="C92" s="4">
        <f>IF($V92="","","Tema "&amp;INDEX($P$2:$P$401,$V92))</f>
        <v/>
      </c>
      <c r="D92" s="70">
        <f>IF($V92="","",INDEX($Q$2:$Q$401,$V92))</f>
        <v/>
      </c>
      <c r="E92" s="4">
        <f>IF($V92="","",IF(INDEX($S$2:$S$401,$V92)&lt;&gt;"",INDEX($S$2:$S$401,$V92),IF(INDEX($R$2:$R$401,$V92)&lt;$B$2,"Vencida",IF(INDEX($R$2:$R$401,$V92)=$B$2,"Hoy","Programada"))))</f>
        <v/>
      </c>
      <c r="P92" s="26" t="n">
        <v>10</v>
      </c>
      <c r="Q92" s="26" t="n">
        <v>1</v>
      </c>
      <c r="R92" s="26">
        <f>INDEX(Progreso!$AZ$2:$BI$41,$P92,$Q92)</f>
        <v/>
      </c>
      <c r="S92" s="18">
        <f>IF(INDEX(Progreso!$AB$2:$AK$41,$P92,$Q92)=0,"",INDEX(Progreso!$AB$2:$AK$41,$P92,$Q92))</f>
        <v/>
      </c>
      <c r="T92" s="26">
        <f>IF($R92=0,"",COUNTIFS($R$2:$R$401,"&gt;0",$R$2:$R$401,"&lt;"&amp;$R92)+COUNTIFS($R$2:R92,"="&amp;$R92))</f>
        <v/>
      </c>
      <c r="V92" s="26">
        <f>IFERROR(MATCH(ROW()-ROW($V$12),$T$2:$T$401,0),"")</f>
        <v/>
      </c>
    </row>
    <row r="93" ht="22.5" customHeight="1">
      <c r="A93" s="78">
        <f>IF($V93="","",INDEX($R$2:$R$401,$V93))</f>
        <v/>
      </c>
      <c r="B93" s="2">
        <f>IF($V93="","",INDEX(DIAS_SEMANA,WEEKDAY(INDEX($R$2:$R$401,$V93),2)))</f>
        <v/>
      </c>
      <c r="C93" s="2">
        <f>IF($V93="","","Tema "&amp;INDEX($P$2:$P$401,$V93))</f>
        <v/>
      </c>
      <c r="D93" s="69">
        <f>IF($V93="","",INDEX($Q$2:$Q$401,$V93))</f>
        <v/>
      </c>
      <c r="E93" s="2">
        <f>IF($V93="","",IF(INDEX($S$2:$S$401,$V93)&lt;&gt;"",INDEX($S$2:$S$401,$V93),IF(INDEX($R$2:$R$401,$V93)&lt;$B$2,"Vencida",IF(INDEX($R$2:$R$401,$V93)=$B$2,"Hoy","Programada"))))</f>
        <v/>
      </c>
      <c r="P93" s="26" t="n">
        <v>10</v>
      </c>
      <c r="Q93" s="26" t="n">
        <v>2</v>
      </c>
      <c r="R93" s="26">
        <f>INDEX(Progreso!$AZ$2:$BI$41,$P93,$Q93)</f>
        <v/>
      </c>
      <c r="S93" s="18">
        <f>IF(INDEX(Progreso!$AB$2:$AK$41,$P93,$Q93)=0,"",INDEX(Progreso!$AB$2:$AK$41,$P93,$Q93))</f>
        <v/>
      </c>
      <c r="T93" s="26">
        <f>IF($R93=0,"",COUNTIFS($R$2:$R$401,"&gt;0",$R$2:$R$401,"&lt;"&amp;$R93)+COUNTIFS($R$2:R93,"="&amp;$R93))</f>
        <v/>
      </c>
      <c r="V93" s="26">
        <f>IFERROR(MATCH(ROW()-ROW($V$12),$T$2:$T$401,0),"")</f>
        <v/>
      </c>
    </row>
    <row r="94" ht="22.5" customHeight="1">
      <c r="A94" s="85">
        <f>IF($V94="","",INDEX($R$2:$R$401,$V94))</f>
        <v/>
      </c>
      <c r="B94" s="4">
        <f>IF($V94="","",INDEX(DIAS_SEMANA,WEEKDAY(INDEX($R$2:$R$401,$V94),2)))</f>
        <v/>
      </c>
      <c r="C94" s="4">
        <f>IF($V94="","","Tema "&amp;INDEX($P$2:$P$401,$V94))</f>
        <v/>
      </c>
      <c r="D94" s="70">
        <f>IF($V94="","",INDEX($Q$2:$Q$401,$V94))</f>
        <v/>
      </c>
      <c r="E94" s="4">
        <f>IF($V94="","",IF(INDEX($S$2:$S$401,$V94)&lt;&gt;"",INDEX($S$2:$S$401,$V94),IF(INDEX($R$2:$R$401,$V94)&lt;$B$2,"Vencida",IF(INDEX($R$2:$R$401,$V94)=$B$2,"Hoy","Programada"))))</f>
        <v/>
      </c>
      <c r="P94" s="26" t="n">
        <v>10</v>
      </c>
      <c r="Q94" s="26" t="n">
        <v>3</v>
      </c>
      <c r="R94" s="26">
        <f>INDEX(Progreso!$AZ$2:$BI$41,$P94,$Q94)</f>
        <v/>
      </c>
      <c r="S94" s="18">
        <f>IF(INDEX(Progreso!$AB$2:$AK$41,$P94,$Q94)=0,"",INDEX(Progreso!$AB$2:$AK$41,$P94,$Q94))</f>
        <v/>
      </c>
      <c r="T94" s="26">
        <f>IF($R94=0,"",COUNTIFS($R$2:$R$401,"&gt;0",$R$2:$R$401,"&lt;"&amp;$R94)+COUNTIFS($R$2:R94,"="&amp;$R94))</f>
        <v/>
      </c>
      <c r="V94" s="26">
        <f>IFERROR(MATCH(ROW()-ROW($V$12),$T$2:$T$401,0),"")</f>
        <v/>
      </c>
    </row>
    <row r="95" ht="22.5" customHeight="1">
      <c r="A95" s="78">
        <f>IF($V95="","",INDEX($R$2:$R$401,$V95))</f>
        <v/>
      </c>
      <c r="B95" s="2">
        <f>IF($V95="","",INDEX(DIAS_SEMANA,WEEKDAY(INDEX($R$2:$R$401,$V95),2)))</f>
        <v/>
      </c>
      <c r="C95" s="2">
        <f>IF($V95="","","Tema "&amp;INDEX($P$2:$P$401,$V95))</f>
        <v/>
      </c>
      <c r="D95" s="69">
        <f>IF($V95="","",INDEX($Q$2:$Q$401,$V95))</f>
        <v/>
      </c>
      <c r="E95" s="2">
        <f>IF($V95="","",IF(INDEX($S$2:$S$401,$V95)&lt;&gt;"",INDEX($S$2:$S$401,$V95),IF(INDEX($R$2:$R$401,$V95)&lt;$B$2,"Vencida",IF(INDEX($R$2:$R$401,$V95)=$B$2,"Hoy","Programada"))))</f>
        <v/>
      </c>
      <c r="P95" s="26" t="n">
        <v>10</v>
      </c>
      <c r="Q95" s="26" t="n">
        <v>4</v>
      </c>
      <c r="R95" s="26">
        <f>INDEX(Progreso!$AZ$2:$BI$41,$P95,$Q95)</f>
        <v/>
      </c>
      <c r="S95" s="18">
        <f>IF(INDEX(Progreso!$AB$2:$AK$41,$P95,$Q95)=0,"",INDEX(Progreso!$AB$2:$AK$41,$P95,$Q95))</f>
        <v/>
      </c>
      <c r="T95" s="26">
        <f>IF($R95=0,"",COUNTIFS($R$2:$R$401,"&gt;0",$R$2:$R$401,"&lt;"&amp;$R95)+COUNTIFS($R$2:R95,"="&amp;$R95))</f>
        <v/>
      </c>
      <c r="V95" s="26">
        <f>IFERROR(MATCH(ROW()-ROW($V$12),$T$2:$T$401,0),"")</f>
        <v/>
      </c>
    </row>
    <row r="96" ht="22.5" customHeight="1">
      <c r="A96" s="85">
        <f>IF($V96="","",INDEX($R$2:$R$401,$V96))</f>
        <v/>
      </c>
      <c r="B96" s="4">
        <f>IF($V96="","",INDEX(DIAS_SEMANA,WEEKDAY(INDEX($R$2:$R$401,$V96),2)))</f>
        <v/>
      </c>
      <c r="C96" s="4">
        <f>IF($V96="","","Tema "&amp;INDEX($P$2:$P$401,$V96))</f>
        <v/>
      </c>
      <c r="D96" s="70">
        <f>IF($V96="","",INDEX($Q$2:$Q$401,$V96))</f>
        <v/>
      </c>
      <c r="E96" s="4">
        <f>IF($V96="","",IF(INDEX($S$2:$S$401,$V96)&lt;&gt;"",INDEX($S$2:$S$401,$V96),IF(INDEX($R$2:$R$401,$V96)&lt;$B$2,"Vencida",IF(INDEX($R$2:$R$401,$V96)=$B$2,"Hoy","Programada"))))</f>
        <v/>
      </c>
      <c r="P96" s="26" t="n">
        <v>10</v>
      </c>
      <c r="Q96" s="26" t="n">
        <v>5</v>
      </c>
      <c r="R96" s="26">
        <f>INDEX(Progreso!$AZ$2:$BI$41,$P96,$Q96)</f>
        <v/>
      </c>
      <c r="S96" s="18">
        <f>IF(INDEX(Progreso!$AB$2:$AK$41,$P96,$Q96)=0,"",INDEX(Progreso!$AB$2:$AK$41,$P96,$Q96))</f>
        <v/>
      </c>
      <c r="T96" s="26">
        <f>IF($R96=0,"",COUNTIFS($R$2:$R$401,"&gt;0",$R$2:$R$401,"&lt;"&amp;$R96)+COUNTIFS($R$2:R96,"="&amp;$R96))</f>
        <v/>
      </c>
      <c r="V96" s="26">
        <f>IFERROR(MATCH(ROW()-ROW($V$12),$T$2:$T$401,0),"")</f>
        <v/>
      </c>
    </row>
    <row r="97" ht="22.5" customHeight="1">
      <c r="A97" s="78">
        <f>IF($V97="","",INDEX($R$2:$R$401,$V97))</f>
        <v/>
      </c>
      <c r="B97" s="2">
        <f>IF($V97="","",INDEX(DIAS_SEMANA,WEEKDAY(INDEX($R$2:$R$401,$V97),2)))</f>
        <v/>
      </c>
      <c r="C97" s="2">
        <f>IF($V97="","","Tema "&amp;INDEX($P$2:$P$401,$V97))</f>
        <v/>
      </c>
      <c r="D97" s="69">
        <f>IF($V97="","",INDEX($Q$2:$Q$401,$V97))</f>
        <v/>
      </c>
      <c r="E97" s="2">
        <f>IF($V97="","",IF(INDEX($S$2:$S$401,$V97)&lt;&gt;"",INDEX($S$2:$S$401,$V97),IF(INDEX($R$2:$R$401,$V97)&lt;$B$2,"Vencida",IF(INDEX($R$2:$R$401,$V97)=$B$2,"Hoy","Programada"))))</f>
        <v/>
      </c>
      <c r="P97" s="26" t="n">
        <v>10</v>
      </c>
      <c r="Q97" s="26" t="n">
        <v>6</v>
      </c>
      <c r="R97" s="26">
        <f>INDEX(Progreso!$AZ$2:$BI$41,$P97,$Q97)</f>
        <v/>
      </c>
      <c r="S97" s="18">
        <f>IF(INDEX(Progreso!$AB$2:$AK$41,$P97,$Q97)=0,"",INDEX(Progreso!$AB$2:$AK$41,$P97,$Q97))</f>
        <v/>
      </c>
      <c r="T97" s="26">
        <f>IF($R97=0,"",COUNTIFS($R$2:$R$401,"&gt;0",$R$2:$R$401,"&lt;"&amp;$R97)+COUNTIFS($R$2:R97,"="&amp;$R97))</f>
        <v/>
      </c>
      <c r="V97" s="26">
        <f>IFERROR(MATCH(ROW()-ROW($V$12),$T$2:$T$401,0),"")</f>
        <v/>
      </c>
    </row>
    <row r="98" ht="22.5" customHeight="1">
      <c r="A98" s="85">
        <f>IF($V98="","",INDEX($R$2:$R$401,$V98))</f>
        <v/>
      </c>
      <c r="B98" s="4">
        <f>IF($V98="","",INDEX(DIAS_SEMANA,WEEKDAY(INDEX($R$2:$R$401,$V98),2)))</f>
        <v/>
      </c>
      <c r="C98" s="4">
        <f>IF($V98="","","Tema "&amp;INDEX($P$2:$P$401,$V98))</f>
        <v/>
      </c>
      <c r="D98" s="70">
        <f>IF($V98="","",INDEX($Q$2:$Q$401,$V98))</f>
        <v/>
      </c>
      <c r="E98" s="4">
        <f>IF($V98="","",IF(INDEX($S$2:$S$401,$V98)&lt;&gt;"",INDEX($S$2:$S$401,$V98),IF(INDEX($R$2:$R$401,$V98)&lt;$B$2,"Vencida",IF(INDEX($R$2:$R$401,$V98)=$B$2,"Hoy","Programada"))))</f>
        <v/>
      </c>
      <c r="P98" s="26" t="n">
        <v>10</v>
      </c>
      <c r="Q98" s="26" t="n">
        <v>7</v>
      </c>
      <c r="R98" s="26">
        <f>INDEX(Progreso!$AZ$2:$BI$41,$P98,$Q98)</f>
        <v/>
      </c>
      <c r="S98" s="18">
        <f>IF(INDEX(Progreso!$AB$2:$AK$41,$P98,$Q98)=0,"",INDEX(Progreso!$AB$2:$AK$41,$P98,$Q98))</f>
        <v/>
      </c>
      <c r="T98" s="26">
        <f>IF($R98=0,"",COUNTIFS($R$2:$R$401,"&gt;0",$R$2:$R$401,"&lt;"&amp;$R98)+COUNTIFS($R$2:R98,"="&amp;$R98))</f>
        <v/>
      </c>
      <c r="V98" s="26">
        <f>IFERROR(MATCH(ROW()-ROW($V$12),$T$2:$T$401,0),"")</f>
        <v/>
      </c>
    </row>
    <row r="99" ht="22.5" customHeight="1">
      <c r="A99" s="78">
        <f>IF($V99="","",INDEX($R$2:$R$401,$V99))</f>
        <v/>
      </c>
      <c r="B99" s="2">
        <f>IF($V99="","",INDEX(DIAS_SEMANA,WEEKDAY(INDEX($R$2:$R$401,$V99),2)))</f>
        <v/>
      </c>
      <c r="C99" s="2">
        <f>IF($V99="","","Tema "&amp;INDEX($P$2:$P$401,$V99))</f>
        <v/>
      </c>
      <c r="D99" s="69">
        <f>IF($V99="","",INDEX($Q$2:$Q$401,$V99))</f>
        <v/>
      </c>
      <c r="E99" s="2">
        <f>IF($V99="","",IF(INDEX($S$2:$S$401,$V99)&lt;&gt;"",INDEX($S$2:$S$401,$V99),IF(INDEX($R$2:$R$401,$V99)&lt;$B$2,"Vencida",IF(INDEX($R$2:$R$401,$V99)=$B$2,"Hoy","Programada"))))</f>
        <v/>
      </c>
      <c r="P99" s="26" t="n">
        <v>10</v>
      </c>
      <c r="Q99" s="26" t="n">
        <v>8</v>
      </c>
      <c r="R99" s="26">
        <f>INDEX(Progreso!$AZ$2:$BI$41,$P99,$Q99)</f>
        <v/>
      </c>
      <c r="S99" s="18">
        <f>IF(INDEX(Progreso!$AB$2:$AK$41,$P99,$Q99)=0,"",INDEX(Progreso!$AB$2:$AK$41,$P99,$Q99))</f>
        <v/>
      </c>
      <c r="T99" s="26">
        <f>IF($R99=0,"",COUNTIFS($R$2:$R$401,"&gt;0",$R$2:$R$401,"&lt;"&amp;$R99)+COUNTIFS($R$2:R99,"="&amp;$R99))</f>
        <v/>
      </c>
      <c r="V99" s="26">
        <f>IFERROR(MATCH(ROW()-ROW($V$12),$T$2:$T$401,0),"")</f>
        <v/>
      </c>
    </row>
    <row r="100" ht="22.5" customHeight="1">
      <c r="A100" s="85">
        <f>IF($V100="","",INDEX($R$2:$R$401,$V100))</f>
        <v/>
      </c>
      <c r="B100" s="4">
        <f>IF($V100="","",INDEX(DIAS_SEMANA,WEEKDAY(INDEX($R$2:$R$401,$V100),2)))</f>
        <v/>
      </c>
      <c r="C100" s="4">
        <f>IF($V100="","","Tema "&amp;INDEX($P$2:$P$401,$V100))</f>
        <v/>
      </c>
      <c r="D100" s="70">
        <f>IF($V100="","",INDEX($Q$2:$Q$401,$V100))</f>
        <v/>
      </c>
      <c r="E100" s="4">
        <f>IF($V100="","",IF(INDEX($S$2:$S$401,$V100)&lt;&gt;"",INDEX($S$2:$S$401,$V100),IF(INDEX($R$2:$R$401,$V100)&lt;$B$2,"Vencida",IF(INDEX($R$2:$R$401,$V100)=$B$2,"Hoy","Programada"))))</f>
        <v/>
      </c>
      <c r="P100" s="26" t="n">
        <v>10</v>
      </c>
      <c r="Q100" s="26" t="n">
        <v>9</v>
      </c>
      <c r="R100" s="26">
        <f>INDEX(Progreso!$AZ$2:$BI$41,$P100,$Q100)</f>
        <v/>
      </c>
      <c r="S100" s="18">
        <f>IF(INDEX(Progreso!$AB$2:$AK$41,$P100,$Q100)=0,"",INDEX(Progreso!$AB$2:$AK$41,$P100,$Q100))</f>
        <v/>
      </c>
      <c r="T100" s="26">
        <f>IF($R100=0,"",COUNTIFS($R$2:$R$401,"&gt;0",$R$2:$R$401,"&lt;"&amp;$R100)+COUNTIFS($R$2:R100,"="&amp;$R100))</f>
        <v/>
      </c>
      <c r="V100" s="26">
        <f>IFERROR(MATCH(ROW()-ROW($V$12),$T$2:$T$401,0),"")</f>
        <v/>
      </c>
    </row>
    <row r="101" ht="22.5" customHeight="1">
      <c r="A101" s="78">
        <f>IF($V101="","",INDEX($R$2:$R$401,$V101))</f>
        <v/>
      </c>
      <c r="B101" s="2">
        <f>IF($V101="","",INDEX(DIAS_SEMANA,WEEKDAY(INDEX($R$2:$R$401,$V101),2)))</f>
        <v/>
      </c>
      <c r="C101" s="2">
        <f>IF($V101="","","Tema "&amp;INDEX($P$2:$P$401,$V101))</f>
        <v/>
      </c>
      <c r="D101" s="69">
        <f>IF($V101="","",INDEX($Q$2:$Q$401,$V101))</f>
        <v/>
      </c>
      <c r="E101" s="2">
        <f>IF($V101="","",IF(INDEX($S$2:$S$401,$V101)&lt;&gt;"",INDEX($S$2:$S$401,$V101),IF(INDEX($R$2:$R$401,$V101)&lt;$B$2,"Vencida",IF(INDEX($R$2:$R$401,$V101)=$B$2,"Hoy","Programada"))))</f>
        <v/>
      </c>
      <c r="P101" s="26" t="n">
        <v>10</v>
      </c>
      <c r="Q101" s="26" t="n">
        <v>10</v>
      </c>
      <c r="R101" s="26">
        <f>INDEX(Progreso!$AZ$2:$BI$41,$P101,$Q101)</f>
        <v/>
      </c>
      <c r="S101" s="18">
        <f>IF(INDEX(Progreso!$AB$2:$AK$41,$P101,$Q101)=0,"",INDEX(Progreso!$AB$2:$AK$41,$P101,$Q101))</f>
        <v/>
      </c>
      <c r="T101" s="26">
        <f>IF($R101=0,"",COUNTIFS($R$2:$R$401,"&gt;0",$R$2:$R$401,"&lt;"&amp;$R101)+COUNTIFS($R$2:R101,"="&amp;$R101))</f>
        <v/>
      </c>
      <c r="V101" s="26">
        <f>IFERROR(MATCH(ROW()-ROW($V$12),$T$2:$T$401,0),"")</f>
        <v/>
      </c>
    </row>
    <row r="102" ht="22.5" customHeight="1">
      <c r="A102" s="85">
        <f>IF($V102="","",INDEX($R$2:$R$401,$V102))</f>
        <v/>
      </c>
      <c r="B102" s="4">
        <f>IF($V102="","",INDEX(DIAS_SEMANA,WEEKDAY(INDEX($R$2:$R$401,$V102),2)))</f>
        <v/>
      </c>
      <c r="C102" s="4">
        <f>IF($V102="","","Tema "&amp;INDEX($P$2:$P$401,$V102))</f>
        <v/>
      </c>
      <c r="D102" s="70">
        <f>IF($V102="","",INDEX($Q$2:$Q$401,$V102))</f>
        <v/>
      </c>
      <c r="E102" s="4">
        <f>IF($V102="","",IF(INDEX($S$2:$S$401,$V102)&lt;&gt;"",INDEX($S$2:$S$401,$V102),IF(INDEX($R$2:$R$401,$V102)&lt;$B$2,"Vencida",IF(INDEX($R$2:$R$401,$V102)=$B$2,"Hoy","Programada"))))</f>
        <v/>
      </c>
      <c r="P102" s="26" t="n">
        <v>11</v>
      </c>
      <c r="Q102" s="26" t="n">
        <v>1</v>
      </c>
      <c r="R102" s="26">
        <f>INDEX(Progreso!$AZ$2:$BI$41,$P102,$Q102)</f>
        <v/>
      </c>
      <c r="S102" s="18">
        <f>IF(INDEX(Progreso!$AB$2:$AK$41,$P102,$Q102)=0,"",INDEX(Progreso!$AB$2:$AK$41,$P102,$Q102))</f>
        <v/>
      </c>
      <c r="T102" s="26">
        <f>IF($R102=0,"",COUNTIFS($R$2:$R$401,"&gt;0",$R$2:$R$401,"&lt;"&amp;$R102)+COUNTIFS($R$2:R102,"="&amp;$R102))</f>
        <v/>
      </c>
      <c r="V102" s="26">
        <f>IFERROR(MATCH(ROW()-ROW($V$12),$T$2:$T$401,0),"")</f>
        <v/>
      </c>
    </row>
    <row r="103" ht="22.5" customHeight="1">
      <c r="A103" s="78">
        <f>IF($V103="","",INDEX($R$2:$R$401,$V103))</f>
        <v/>
      </c>
      <c r="B103" s="2">
        <f>IF($V103="","",INDEX(DIAS_SEMANA,WEEKDAY(INDEX($R$2:$R$401,$V103),2)))</f>
        <v/>
      </c>
      <c r="C103" s="2">
        <f>IF($V103="","","Tema "&amp;INDEX($P$2:$P$401,$V103))</f>
        <v/>
      </c>
      <c r="D103" s="69">
        <f>IF($V103="","",INDEX($Q$2:$Q$401,$V103))</f>
        <v/>
      </c>
      <c r="E103" s="2">
        <f>IF($V103="","",IF(INDEX($S$2:$S$401,$V103)&lt;&gt;"",INDEX($S$2:$S$401,$V103),IF(INDEX($R$2:$R$401,$V103)&lt;$B$2,"Vencida",IF(INDEX($R$2:$R$401,$V103)=$B$2,"Hoy","Programada"))))</f>
        <v/>
      </c>
      <c r="P103" s="26" t="n">
        <v>11</v>
      </c>
      <c r="Q103" s="26" t="n">
        <v>2</v>
      </c>
      <c r="R103" s="26">
        <f>INDEX(Progreso!$AZ$2:$BI$41,$P103,$Q103)</f>
        <v/>
      </c>
      <c r="S103" s="18">
        <f>IF(INDEX(Progreso!$AB$2:$AK$41,$P103,$Q103)=0,"",INDEX(Progreso!$AB$2:$AK$41,$P103,$Q103))</f>
        <v/>
      </c>
      <c r="T103" s="26">
        <f>IF($R103=0,"",COUNTIFS($R$2:$R$401,"&gt;0",$R$2:$R$401,"&lt;"&amp;$R103)+COUNTIFS($R$2:R103,"="&amp;$R103))</f>
        <v/>
      </c>
      <c r="V103" s="26">
        <f>IFERROR(MATCH(ROW()-ROW($V$12),$T$2:$T$401,0),"")</f>
        <v/>
      </c>
    </row>
    <row r="104" ht="22.5" customHeight="1">
      <c r="A104" s="85">
        <f>IF($V104="","",INDEX($R$2:$R$401,$V104))</f>
        <v/>
      </c>
      <c r="B104" s="4">
        <f>IF($V104="","",INDEX(DIAS_SEMANA,WEEKDAY(INDEX($R$2:$R$401,$V104),2)))</f>
        <v/>
      </c>
      <c r="C104" s="4">
        <f>IF($V104="","","Tema "&amp;INDEX($P$2:$P$401,$V104))</f>
        <v/>
      </c>
      <c r="D104" s="70">
        <f>IF($V104="","",INDEX($Q$2:$Q$401,$V104))</f>
        <v/>
      </c>
      <c r="E104" s="4">
        <f>IF($V104="","",IF(INDEX($S$2:$S$401,$V104)&lt;&gt;"",INDEX($S$2:$S$401,$V104),IF(INDEX($R$2:$R$401,$V104)&lt;$B$2,"Vencida",IF(INDEX($R$2:$R$401,$V104)=$B$2,"Hoy","Programada"))))</f>
        <v/>
      </c>
      <c r="P104" s="26" t="n">
        <v>11</v>
      </c>
      <c r="Q104" s="26" t="n">
        <v>3</v>
      </c>
      <c r="R104" s="26">
        <f>INDEX(Progreso!$AZ$2:$BI$41,$P104,$Q104)</f>
        <v/>
      </c>
      <c r="S104" s="18">
        <f>IF(INDEX(Progreso!$AB$2:$AK$41,$P104,$Q104)=0,"",INDEX(Progreso!$AB$2:$AK$41,$P104,$Q104))</f>
        <v/>
      </c>
      <c r="T104" s="26">
        <f>IF($R104=0,"",COUNTIFS($R$2:$R$401,"&gt;0",$R$2:$R$401,"&lt;"&amp;$R104)+COUNTIFS($R$2:R104,"="&amp;$R104))</f>
        <v/>
      </c>
      <c r="V104" s="26">
        <f>IFERROR(MATCH(ROW()-ROW($V$12),$T$2:$T$401,0),"")</f>
        <v/>
      </c>
    </row>
    <row r="105" ht="22.5" customHeight="1">
      <c r="A105" s="78">
        <f>IF($V105="","",INDEX($R$2:$R$401,$V105))</f>
        <v/>
      </c>
      <c r="B105" s="2">
        <f>IF($V105="","",INDEX(DIAS_SEMANA,WEEKDAY(INDEX($R$2:$R$401,$V105),2)))</f>
        <v/>
      </c>
      <c r="C105" s="2">
        <f>IF($V105="","","Tema "&amp;INDEX($P$2:$P$401,$V105))</f>
        <v/>
      </c>
      <c r="D105" s="69">
        <f>IF($V105="","",INDEX($Q$2:$Q$401,$V105))</f>
        <v/>
      </c>
      <c r="E105" s="2">
        <f>IF($V105="","",IF(INDEX($S$2:$S$401,$V105)&lt;&gt;"",INDEX($S$2:$S$401,$V105),IF(INDEX($R$2:$R$401,$V105)&lt;$B$2,"Vencida",IF(INDEX($R$2:$R$401,$V105)=$B$2,"Hoy","Programada"))))</f>
        <v/>
      </c>
      <c r="P105" s="26" t="n">
        <v>11</v>
      </c>
      <c r="Q105" s="26" t="n">
        <v>4</v>
      </c>
      <c r="R105" s="26">
        <f>INDEX(Progreso!$AZ$2:$BI$41,$P105,$Q105)</f>
        <v/>
      </c>
      <c r="S105" s="18">
        <f>IF(INDEX(Progreso!$AB$2:$AK$41,$P105,$Q105)=0,"",INDEX(Progreso!$AB$2:$AK$41,$P105,$Q105))</f>
        <v/>
      </c>
      <c r="T105" s="26">
        <f>IF($R105=0,"",COUNTIFS($R$2:$R$401,"&gt;0",$R$2:$R$401,"&lt;"&amp;$R105)+COUNTIFS($R$2:R105,"="&amp;$R105))</f>
        <v/>
      </c>
      <c r="V105" s="26">
        <f>IFERROR(MATCH(ROW()-ROW($V$12),$T$2:$T$401,0),"")</f>
        <v/>
      </c>
    </row>
    <row r="106" ht="22.5" customHeight="1">
      <c r="A106" s="85">
        <f>IF($V106="","",INDEX($R$2:$R$401,$V106))</f>
        <v/>
      </c>
      <c r="B106" s="4">
        <f>IF($V106="","",INDEX(DIAS_SEMANA,WEEKDAY(INDEX($R$2:$R$401,$V106),2)))</f>
        <v/>
      </c>
      <c r="C106" s="4">
        <f>IF($V106="","","Tema "&amp;INDEX($P$2:$P$401,$V106))</f>
        <v/>
      </c>
      <c r="D106" s="70">
        <f>IF($V106="","",INDEX($Q$2:$Q$401,$V106))</f>
        <v/>
      </c>
      <c r="E106" s="4">
        <f>IF($V106="","",IF(INDEX($S$2:$S$401,$V106)&lt;&gt;"",INDEX($S$2:$S$401,$V106),IF(INDEX($R$2:$R$401,$V106)&lt;$B$2,"Vencida",IF(INDEX($R$2:$R$401,$V106)=$B$2,"Hoy","Programada"))))</f>
        <v/>
      </c>
      <c r="P106" s="26" t="n">
        <v>11</v>
      </c>
      <c r="Q106" s="26" t="n">
        <v>5</v>
      </c>
      <c r="R106" s="26">
        <f>INDEX(Progreso!$AZ$2:$BI$41,$P106,$Q106)</f>
        <v/>
      </c>
      <c r="S106" s="18">
        <f>IF(INDEX(Progreso!$AB$2:$AK$41,$P106,$Q106)=0,"",INDEX(Progreso!$AB$2:$AK$41,$P106,$Q106))</f>
        <v/>
      </c>
      <c r="T106" s="26">
        <f>IF($R106=0,"",COUNTIFS($R$2:$R$401,"&gt;0",$R$2:$R$401,"&lt;"&amp;$R106)+COUNTIFS($R$2:R106,"="&amp;$R106))</f>
        <v/>
      </c>
      <c r="V106" s="26">
        <f>IFERROR(MATCH(ROW()-ROW($V$12),$T$2:$T$401,0),"")</f>
        <v/>
      </c>
    </row>
    <row r="107" ht="22.5" customHeight="1">
      <c r="A107" s="78">
        <f>IF($V107="","",INDEX($R$2:$R$401,$V107))</f>
        <v/>
      </c>
      <c r="B107" s="2">
        <f>IF($V107="","",INDEX(DIAS_SEMANA,WEEKDAY(INDEX($R$2:$R$401,$V107),2)))</f>
        <v/>
      </c>
      <c r="C107" s="2">
        <f>IF($V107="","","Tema "&amp;INDEX($P$2:$P$401,$V107))</f>
        <v/>
      </c>
      <c r="D107" s="69">
        <f>IF($V107="","",INDEX($Q$2:$Q$401,$V107))</f>
        <v/>
      </c>
      <c r="E107" s="2">
        <f>IF($V107="","",IF(INDEX($S$2:$S$401,$V107)&lt;&gt;"",INDEX($S$2:$S$401,$V107),IF(INDEX($R$2:$R$401,$V107)&lt;$B$2,"Vencida",IF(INDEX($R$2:$R$401,$V107)=$B$2,"Hoy","Programada"))))</f>
        <v/>
      </c>
      <c r="P107" s="26" t="n">
        <v>11</v>
      </c>
      <c r="Q107" s="26" t="n">
        <v>6</v>
      </c>
      <c r="R107" s="26">
        <f>INDEX(Progreso!$AZ$2:$BI$41,$P107,$Q107)</f>
        <v/>
      </c>
      <c r="S107" s="18">
        <f>IF(INDEX(Progreso!$AB$2:$AK$41,$P107,$Q107)=0,"",INDEX(Progreso!$AB$2:$AK$41,$P107,$Q107))</f>
        <v/>
      </c>
      <c r="T107" s="26">
        <f>IF($R107=0,"",COUNTIFS($R$2:$R$401,"&gt;0",$R$2:$R$401,"&lt;"&amp;$R107)+COUNTIFS($R$2:R107,"="&amp;$R107))</f>
        <v/>
      </c>
      <c r="V107" s="26">
        <f>IFERROR(MATCH(ROW()-ROW($V$12),$T$2:$T$401,0),"")</f>
        <v/>
      </c>
    </row>
    <row r="108" ht="22.5" customHeight="1">
      <c r="A108" s="85">
        <f>IF($V108="","",INDEX($R$2:$R$401,$V108))</f>
        <v/>
      </c>
      <c r="B108" s="4">
        <f>IF($V108="","",INDEX(DIAS_SEMANA,WEEKDAY(INDEX($R$2:$R$401,$V108),2)))</f>
        <v/>
      </c>
      <c r="C108" s="4">
        <f>IF($V108="","","Tema "&amp;INDEX($P$2:$P$401,$V108))</f>
        <v/>
      </c>
      <c r="D108" s="70">
        <f>IF($V108="","",INDEX($Q$2:$Q$401,$V108))</f>
        <v/>
      </c>
      <c r="E108" s="4">
        <f>IF($V108="","",IF(INDEX($S$2:$S$401,$V108)&lt;&gt;"",INDEX($S$2:$S$401,$V108),IF(INDEX($R$2:$R$401,$V108)&lt;$B$2,"Vencida",IF(INDEX($R$2:$R$401,$V108)=$B$2,"Hoy","Programada"))))</f>
        <v/>
      </c>
      <c r="P108" s="26" t="n">
        <v>11</v>
      </c>
      <c r="Q108" s="26" t="n">
        <v>7</v>
      </c>
      <c r="R108" s="26">
        <f>INDEX(Progreso!$AZ$2:$BI$41,$P108,$Q108)</f>
        <v/>
      </c>
      <c r="S108" s="18">
        <f>IF(INDEX(Progreso!$AB$2:$AK$41,$P108,$Q108)=0,"",INDEX(Progreso!$AB$2:$AK$41,$P108,$Q108))</f>
        <v/>
      </c>
      <c r="T108" s="26">
        <f>IF($R108=0,"",COUNTIFS($R$2:$R$401,"&gt;0",$R$2:$R$401,"&lt;"&amp;$R108)+COUNTIFS($R$2:R108,"="&amp;$R108))</f>
        <v/>
      </c>
      <c r="V108" s="26">
        <f>IFERROR(MATCH(ROW()-ROW($V$12),$T$2:$T$401,0),"")</f>
        <v/>
      </c>
    </row>
    <row r="109" ht="22.5" customHeight="1">
      <c r="A109" s="78">
        <f>IF($V109="","",INDEX($R$2:$R$401,$V109))</f>
        <v/>
      </c>
      <c r="B109" s="2">
        <f>IF($V109="","",INDEX(DIAS_SEMANA,WEEKDAY(INDEX($R$2:$R$401,$V109),2)))</f>
        <v/>
      </c>
      <c r="C109" s="2">
        <f>IF($V109="","","Tema "&amp;INDEX($P$2:$P$401,$V109))</f>
        <v/>
      </c>
      <c r="D109" s="69">
        <f>IF($V109="","",INDEX($Q$2:$Q$401,$V109))</f>
        <v/>
      </c>
      <c r="E109" s="2">
        <f>IF($V109="","",IF(INDEX($S$2:$S$401,$V109)&lt;&gt;"",INDEX($S$2:$S$401,$V109),IF(INDEX($R$2:$R$401,$V109)&lt;$B$2,"Vencida",IF(INDEX($R$2:$R$401,$V109)=$B$2,"Hoy","Programada"))))</f>
        <v/>
      </c>
      <c r="P109" s="26" t="n">
        <v>11</v>
      </c>
      <c r="Q109" s="26" t="n">
        <v>8</v>
      </c>
      <c r="R109" s="26">
        <f>INDEX(Progreso!$AZ$2:$BI$41,$P109,$Q109)</f>
        <v/>
      </c>
      <c r="S109" s="18">
        <f>IF(INDEX(Progreso!$AB$2:$AK$41,$P109,$Q109)=0,"",INDEX(Progreso!$AB$2:$AK$41,$P109,$Q109))</f>
        <v/>
      </c>
      <c r="T109" s="26">
        <f>IF($R109=0,"",COUNTIFS($R$2:$R$401,"&gt;0",$R$2:$R$401,"&lt;"&amp;$R109)+COUNTIFS($R$2:R109,"="&amp;$R109))</f>
        <v/>
      </c>
      <c r="V109" s="26">
        <f>IFERROR(MATCH(ROW()-ROW($V$12),$T$2:$T$401,0),"")</f>
        <v/>
      </c>
    </row>
    <row r="110" ht="22.5" customHeight="1">
      <c r="A110" s="85">
        <f>IF($V110="","",INDEX($R$2:$R$401,$V110))</f>
        <v/>
      </c>
      <c r="B110" s="4">
        <f>IF($V110="","",INDEX(DIAS_SEMANA,WEEKDAY(INDEX($R$2:$R$401,$V110),2)))</f>
        <v/>
      </c>
      <c r="C110" s="4">
        <f>IF($V110="","","Tema "&amp;INDEX($P$2:$P$401,$V110))</f>
        <v/>
      </c>
      <c r="D110" s="70">
        <f>IF($V110="","",INDEX($Q$2:$Q$401,$V110))</f>
        <v/>
      </c>
      <c r="E110" s="4">
        <f>IF($V110="","",IF(INDEX($S$2:$S$401,$V110)&lt;&gt;"",INDEX($S$2:$S$401,$V110),IF(INDEX($R$2:$R$401,$V110)&lt;$B$2,"Vencida",IF(INDEX($R$2:$R$401,$V110)=$B$2,"Hoy","Programada"))))</f>
        <v/>
      </c>
      <c r="P110" s="26" t="n">
        <v>11</v>
      </c>
      <c r="Q110" s="26" t="n">
        <v>9</v>
      </c>
      <c r="R110" s="26">
        <f>INDEX(Progreso!$AZ$2:$BI$41,$P110,$Q110)</f>
        <v/>
      </c>
      <c r="S110" s="18">
        <f>IF(INDEX(Progreso!$AB$2:$AK$41,$P110,$Q110)=0,"",INDEX(Progreso!$AB$2:$AK$41,$P110,$Q110))</f>
        <v/>
      </c>
      <c r="T110" s="26">
        <f>IF($R110=0,"",COUNTIFS($R$2:$R$401,"&gt;0",$R$2:$R$401,"&lt;"&amp;$R110)+COUNTIFS($R$2:R110,"="&amp;$R110))</f>
        <v/>
      </c>
      <c r="V110" s="26">
        <f>IFERROR(MATCH(ROW()-ROW($V$12),$T$2:$T$401,0),"")</f>
        <v/>
      </c>
    </row>
    <row r="111" ht="22.5" customHeight="1">
      <c r="A111" s="78">
        <f>IF($V111="","",INDEX($R$2:$R$401,$V111))</f>
        <v/>
      </c>
      <c r="B111" s="2">
        <f>IF($V111="","",INDEX(DIAS_SEMANA,WEEKDAY(INDEX($R$2:$R$401,$V111),2)))</f>
        <v/>
      </c>
      <c r="C111" s="2">
        <f>IF($V111="","","Tema "&amp;INDEX($P$2:$P$401,$V111))</f>
        <v/>
      </c>
      <c r="D111" s="69">
        <f>IF($V111="","",INDEX($Q$2:$Q$401,$V111))</f>
        <v/>
      </c>
      <c r="E111" s="2">
        <f>IF($V111="","",IF(INDEX($S$2:$S$401,$V111)&lt;&gt;"",INDEX($S$2:$S$401,$V111),IF(INDEX($R$2:$R$401,$V111)&lt;$B$2,"Vencida",IF(INDEX($R$2:$R$401,$V111)=$B$2,"Hoy","Programada"))))</f>
        <v/>
      </c>
      <c r="P111" s="26" t="n">
        <v>11</v>
      </c>
      <c r="Q111" s="26" t="n">
        <v>10</v>
      </c>
      <c r="R111" s="26">
        <f>INDEX(Progreso!$AZ$2:$BI$41,$P111,$Q111)</f>
        <v/>
      </c>
      <c r="S111" s="18">
        <f>IF(INDEX(Progreso!$AB$2:$AK$41,$P111,$Q111)=0,"",INDEX(Progreso!$AB$2:$AK$41,$P111,$Q111))</f>
        <v/>
      </c>
      <c r="T111" s="26">
        <f>IF($R111=0,"",COUNTIFS($R$2:$R$401,"&gt;0",$R$2:$R$401,"&lt;"&amp;$R111)+COUNTIFS($R$2:R111,"="&amp;$R111))</f>
        <v/>
      </c>
      <c r="V111" s="26">
        <f>IFERROR(MATCH(ROW()-ROW($V$12),$T$2:$T$401,0),"")</f>
        <v/>
      </c>
    </row>
    <row r="112" ht="22.5" customHeight="1">
      <c r="A112" s="85">
        <f>IF($V112="","",INDEX($R$2:$R$401,$V112))</f>
        <v/>
      </c>
      <c r="B112" s="4">
        <f>IF($V112="","",INDEX(DIAS_SEMANA,WEEKDAY(INDEX($R$2:$R$401,$V112),2)))</f>
        <v/>
      </c>
      <c r="C112" s="4">
        <f>IF($V112="","","Tema "&amp;INDEX($P$2:$P$401,$V112))</f>
        <v/>
      </c>
      <c r="D112" s="70">
        <f>IF($V112="","",INDEX($Q$2:$Q$401,$V112))</f>
        <v/>
      </c>
      <c r="E112" s="4">
        <f>IF($V112="","",IF(INDEX($S$2:$S$401,$V112)&lt;&gt;"",INDEX($S$2:$S$401,$V112),IF(INDEX($R$2:$R$401,$V112)&lt;$B$2,"Vencida",IF(INDEX($R$2:$R$401,$V112)=$B$2,"Hoy","Programada"))))</f>
        <v/>
      </c>
      <c r="P112" s="26" t="n">
        <v>12</v>
      </c>
      <c r="Q112" s="26" t="n">
        <v>1</v>
      </c>
      <c r="R112" s="26">
        <f>INDEX(Progreso!$AZ$2:$BI$41,$P112,$Q112)</f>
        <v/>
      </c>
      <c r="S112" s="18">
        <f>IF(INDEX(Progreso!$AB$2:$AK$41,$P112,$Q112)=0,"",INDEX(Progreso!$AB$2:$AK$41,$P112,$Q112))</f>
        <v/>
      </c>
      <c r="T112" s="26">
        <f>IF($R112=0,"",COUNTIFS($R$2:$R$401,"&gt;0",$R$2:$R$401,"&lt;"&amp;$R112)+COUNTIFS($R$2:R112,"="&amp;$R112))</f>
        <v/>
      </c>
      <c r="V112" s="26">
        <f>IFERROR(MATCH(ROW()-ROW($V$12),$T$2:$T$401,0),"")</f>
        <v/>
      </c>
    </row>
    <row r="113" ht="22.5" customHeight="1">
      <c r="A113" s="78">
        <f>IF($V113="","",INDEX($R$2:$R$401,$V113))</f>
        <v/>
      </c>
      <c r="B113" s="2">
        <f>IF($V113="","",INDEX(DIAS_SEMANA,WEEKDAY(INDEX($R$2:$R$401,$V113),2)))</f>
        <v/>
      </c>
      <c r="C113" s="2">
        <f>IF($V113="","","Tema "&amp;INDEX($P$2:$P$401,$V113))</f>
        <v/>
      </c>
      <c r="D113" s="69">
        <f>IF($V113="","",INDEX($Q$2:$Q$401,$V113))</f>
        <v/>
      </c>
      <c r="E113" s="2">
        <f>IF($V113="","",IF(INDEX($S$2:$S$401,$V113)&lt;&gt;"",INDEX($S$2:$S$401,$V113),IF(INDEX($R$2:$R$401,$V113)&lt;$B$2,"Vencida",IF(INDEX($R$2:$R$401,$V113)=$B$2,"Hoy","Programada"))))</f>
        <v/>
      </c>
      <c r="P113" s="26" t="n">
        <v>12</v>
      </c>
      <c r="Q113" s="26" t="n">
        <v>2</v>
      </c>
      <c r="R113" s="26">
        <f>INDEX(Progreso!$AZ$2:$BI$41,$P113,$Q113)</f>
        <v/>
      </c>
      <c r="S113" s="18">
        <f>IF(INDEX(Progreso!$AB$2:$AK$41,$P113,$Q113)=0,"",INDEX(Progreso!$AB$2:$AK$41,$P113,$Q113))</f>
        <v/>
      </c>
      <c r="T113" s="26">
        <f>IF($R113=0,"",COUNTIFS($R$2:$R$401,"&gt;0",$R$2:$R$401,"&lt;"&amp;$R113)+COUNTIFS($R$2:R113,"="&amp;$R113))</f>
        <v/>
      </c>
      <c r="V113" s="26">
        <f>IFERROR(MATCH(ROW()-ROW($V$12),$T$2:$T$401,0),"")</f>
        <v/>
      </c>
    </row>
    <row r="114" ht="22.5" customHeight="1">
      <c r="A114" s="85">
        <f>IF($V114="","",INDEX($R$2:$R$401,$V114))</f>
        <v/>
      </c>
      <c r="B114" s="4">
        <f>IF($V114="","",INDEX(DIAS_SEMANA,WEEKDAY(INDEX($R$2:$R$401,$V114),2)))</f>
        <v/>
      </c>
      <c r="C114" s="4">
        <f>IF($V114="","","Tema "&amp;INDEX($P$2:$P$401,$V114))</f>
        <v/>
      </c>
      <c r="D114" s="70">
        <f>IF($V114="","",INDEX($Q$2:$Q$401,$V114))</f>
        <v/>
      </c>
      <c r="E114" s="4">
        <f>IF($V114="","",IF(INDEX($S$2:$S$401,$V114)&lt;&gt;"",INDEX($S$2:$S$401,$V114),IF(INDEX($R$2:$R$401,$V114)&lt;$B$2,"Vencida",IF(INDEX($R$2:$R$401,$V114)=$B$2,"Hoy","Programada"))))</f>
        <v/>
      </c>
      <c r="P114" s="26" t="n">
        <v>12</v>
      </c>
      <c r="Q114" s="26" t="n">
        <v>3</v>
      </c>
      <c r="R114" s="26">
        <f>INDEX(Progreso!$AZ$2:$BI$41,$P114,$Q114)</f>
        <v/>
      </c>
      <c r="S114" s="18">
        <f>IF(INDEX(Progreso!$AB$2:$AK$41,$P114,$Q114)=0,"",INDEX(Progreso!$AB$2:$AK$41,$P114,$Q114))</f>
        <v/>
      </c>
      <c r="T114" s="26">
        <f>IF($R114=0,"",COUNTIFS($R$2:$R$401,"&gt;0",$R$2:$R$401,"&lt;"&amp;$R114)+COUNTIFS($R$2:R114,"="&amp;$R114))</f>
        <v/>
      </c>
      <c r="V114" s="26">
        <f>IFERROR(MATCH(ROW()-ROW($V$12),$T$2:$T$401,0),"")</f>
        <v/>
      </c>
    </row>
    <row r="115" ht="22.5" customHeight="1">
      <c r="A115" s="78">
        <f>IF($V115="","",INDEX($R$2:$R$401,$V115))</f>
        <v/>
      </c>
      <c r="B115" s="2">
        <f>IF($V115="","",INDEX(DIAS_SEMANA,WEEKDAY(INDEX($R$2:$R$401,$V115),2)))</f>
        <v/>
      </c>
      <c r="C115" s="2">
        <f>IF($V115="","","Tema "&amp;INDEX($P$2:$P$401,$V115))</f>
        <v/>
      </c>
      <c r="D115" s="69">
        <f>IF($V115="","",INDEX($Q$2:$Q$401,$V115))</f>
        <v/>
      </c>
      <c r="E115" s="2">
        <f>IF($V115="","",IF(INDEX($S$2:$S$401,$V115)&lt;&gt;"",INDEX($S$2:$S$401,$V115),IF(INDEX($R$2:$R$401,$V115)&lt;$B$2,"Vencida",IF(INDEX($R$2:$R$401,$V115)=$B$2,"Hoy","Programada"))))</f>
        <v/>
      </c>
      <c r="P115" s="26" t="n">
        <v>12</v>
      </c>
      <c r="Q115" s="26" t="n">
        <v>4</v>
      </c>
      <c r="R115" s="26">
        <f>INDEX(Progreso!$AZ$2:$BI$41,$P115,$Q115)</f>
        <v/>
      </c>
      <c r="S115" s="18">
        <f>IF(INDEX(Progreso!$AB$2:$AK$41,$P115,$Q115)=0,"",INDEX(Progreso!$AB$2:$AK$41,$P115,$Q115))</f>
        <v/>
      </c>
      <c r="T115" s="26">
        <f>IF($R115=0,"",COUNTIFS($R$2:$R$401,"&gt;0",$R$2:$R$401,"&lt;"&amp;$R115)+COUNTIFS($R$2:R115,"="&amp;$R115))</f>
        <v/>
      </c>
      <c r="V115" s="26">
        <f>IFERROR(MATCH(ROW()-ROW($V$12),$T$2:$T$401,0),"")</f>
        <v/>
      </c>
    </row>
    <row r="116" ht="22.5" customHeight="1">
      <c r="A116" s="85">
        <f>IF($V116="","",INDEX($R$2:$R$401,$V116))</f>
        <v/>
      </c>
      <c r="B116" s="4">
        <f>IF($V116="","",INDEX(DIAS_SEMANA,WEEKDAY(INDEX($R$2:$R$401,$V116),2)))</f>
        <v/>
      </c>
      <c r="C116" s="4">
        <f>IF($V116="","","Tema "&amp;INDEX($P$2:$P$401,$V116))</f>
        <v/>
      </c>
      <c r="D116" s="70">
        <f>IF($V116="","",INDEX($Q$2:$Q$401,$V116))</f>
        <v/>
      </c>
      <c r="E116" s="4">
        <f>IF($V116="","",IF(INDEX($S$2:$S$401,$V116)&lt;&gt;"",INDEX($S$2:$S$401,$V116),IF(INDEX($R$2:$R$401,$V116)&lt;$B$2,"Vencida",IF(INDEX($R$2:$R$401,$V116)=$B$2,"Hoy","Programada"))))</f>
        <v/>
      </c>
      <c r="P116" s="26" t="n">
        <v>12</v>
      </c>
      <c r="Q116" s="26" t="n">
        <v>5</v>
      </c>
      <c r="R116" s="26">
        <f>INDEX(Progreso!$AZ$2:$BI$41,$P116,$Q116)</f>
        <v/>
      </c>
      <c r="S116" s="18">
        <f>IF(INDEX(Progreso!$AB$2:$AK$41,$P116,$Q116)=0,"",INDEX(Progreso!$AB$2:$AK$41,$P116,$Q116))</f>
        <v/>
      </c>
      <c r="T116" s="26">
        <f>IF($R116=0,"",COUNTIFS($R$2:$R$401,"&gt;0",$R$2:$R$401,"&lt;"&amp;$R116)+COUNTIFS($R$2:R116,"="&amp;$R116))</f>
        <v/>
      </c>
      <c r="V116" s="26">
        <f>IFERROR(MATCH(ROW()-ROW($V$12),$T$2:$T$401,0),"")</f>
        <v/>
      </c>
    </row>
    <row r="117" ht="22.5" customHeight="1">
      <c r="A117" s="78">
        <f>IF($V117="","",INDEX($R$2:$R$401,$V117))</f>
        <v/>
      </c>
      <c r="B117" s="2">
        <f>IF($V117="","",INDEX(DIAS_SEMANA,WEEKDAY(INDEX($R$2:$R$401,$V117),2)))</f>
        <v/>
      </c>
      <c r="C117" s="2">
        <f>IF($V117="","","Tema "&amp;INDEX($P$2:$P$401,$V117))</f>
        <v/>
      </c>
      <c r="D117" s="69">
        <f>IF($V117="","",INDEX($Q$2:$Q$401,$V117))</f>
        <v/>
      </c>
      <c r="E117" s="2">
        <f>IF($V117="","",IF(INDEX($S$2:$S$401,$V117)&lt;&gt;"",INDEX($S$2:$S$401,$V117),IF(INDEX($R$2:$R$401,$V117)&lt;$B$2,"Vencida",IF(INDEX($R$2:$R$401,$V117)=$B$2,"Hoy","Programada"))))</f>
        <v/>
      </c>
      <c r="P117" s="26" t="n">
        <v>12</v>
      </c>
      <c r="Q117" s="26" t="n">
        <v>6</v>
      </c>
      <c r="R117" s="26">
        <f>INDEX(Progreso!$AZ$2:$BI$41,$P117,$Q117)</f>
        <v/>
      </c>
      <c r="S117" s="18">
        <f>IF(INDEX(Progreso!$AB$2:$AK$41,$P117,$Q117)=0,"",INDEX(Progreso!$AB$2:$AK$41,$P117,$Q117))</f>
        <v/>
      </c>
      <c r="T117" s="26">
        <f>IF($R117=0,"",COUNTIFS($R$2:$R$401,"&gt;0",$R$2:$R$401,"&lt;"&amp;$R117)+COUNTIFS($R$2:R117,"="&amp;$R117))</f>
        <v/>
      </c>
      <c r="V117" s="26">
        <f>IFERROR(MATCH(ROW()-ROW($V$12),$T$2:$T$401,0),"")</f>
        <v/>
      </c>
    </row>
    <row r="118" ht="22.5" customHeight="1">
      <c r="A118" s="85">
        <f>IF($V118="","",INDEX($R$2:$R$401,$V118))</f>
        <v/>
      </c>
      <c r="B118" s="4">
        <f>IF($V118="","",INDEX(DIAS_SEMANA,WEEKDAY(INDEX($R$2:$R$401,$V118),2)))</f>
        <v/>
      </c>
      <c r="C118" s="4">
        <f>IF($V118="","","Tema "&amp;INDEX($P$2:$P$401,$V118))</f>
        <v/>
      </c>
      <c r="D118" s="70">
        <f>IF($V118="","",INDEX($Q$2:$Q$401,$V118))</f>
        <v/>
      </c>
      <c r="E118" s="4">
        <f>IF($V118="","",IF(INDEX($S$2:$S$401,$V118)&lt;&gt;"",INDEX($S$2:$S$401,$V118),IF(INDEX($R$2:$R$401,$V118)&lt;$B$2,"Vencida",IF(INDEX($R$2:$R$401,$V118)=$B$2,"Hoy","Programada"))))</f>
        <v/>
      </c>
      <c r="P118" s="26" t="n">
        <v>12</v>
      </c>
      <c r="Q118" s="26" t="n">
        <v>7</v>
      </c>
      <c r="R118" s="26">
        <f>INDEX(Progreso!$AZ$2:$BI$41,$P118,$Q118)</f>
        <v/>
      </c>
      <c r="S118" s="18">
        <f>IF(INDEX(Progreso!$AB$2:$AK$41,$P118,$Q118)=0,"",INDEX(Progreso!$AB$2:$AK$41,$P118,$Q118))</f>
        <v/>
      </c>
      <c r="T118" s="26">
        <f>IF($R118=0,"",COUNTIFS($R$2:$R$401,"&gt;0",$R$2:$R$401,"&lt;"&amp;$R118)+COUNTIFS($R$2:R118,"="&amp;$R118))</f>
        <v/>
      </c>
      <c r="V118" s="26">
        <f>IFERROR(MATCH(ROW()-ROW($V$12),$T$2:$T$401,0),"")</f>
        <v/>
      </c>
    </row>
    <row r="119" ht="22.5" customHeight="1">
      <c r="A119" s="78">
        <f>IF($V119="","",INDEX($R$2:$R$401,$V119))</f>
        <v/>
      </c>
      <c r="B119" s="2">
        <f>IF($V119="","",INDEX(DIAS_SEMANA,WEEKDAY(INDEX($R$2:$R$401,$V119),2)))</f>
        <v/>
      </c>
      <c r="C119" s="2">
        <f>IF($V119="","","Tema "&amp;INDEX($P$2:$P$401,$V119))</f>
        <v/>
      </c>
      <c r="D119" s="69">
        <f>IF($V119="","",INDEX($Q$2:$Q$401,$V119))</f>
        <v/>
      </c>
      <c r="E119" s="2">
        <f>IF($V119="","",IF(INDEX($S$2:$S$401,$V119)&lt;&gt;"",INDEX($S$2:$S$401,$V119),IF(INDEX($R$2:$R$401,$V119)&lt;$B$2,"Vencida",IF(INDEX($R$2:$R$401,$V119)=$B$2,"Hoy","Programada"))))</f>
        <v/>
      </c>
      <c r="P119" s="26" t="n">
        <v>12</v>
      </c>
      <c r="Q119" s="26" t="n">
        <v>8</v>
      </c>
      <c r="R119" s="26">
        <f>INDEX(Progreso!$AZ$2:$BI$41,$P119,$Q119)</f>
        <v/>
      </c>
      <c r="S119" s="18">
        <f>IF(INDEX(Progreso!$AB$2:$AK$41,$P119,$Q119)=0,"",INDEX(Progreso!$AB$2:$AK$41,$P119,$Q119))</f>
        <v/>
      </c>
      <c r="T119" s="26">
        <f>IF($R119=0,"",COUNTIFS($R$2:$R$401,"&gt;0",$R$2:$R$401,"&lt;"&amp;$R119)+COUNTIFS($R$2:R119,"="&amp;$R119))</f>
        <v/>
      </c>
      <c r="V119" s="26">
        <f>IFERROR(MATCH(ROW()-ROW($V$12),$T$2:$T$401,0),"")</f>
        <v/>
      </c>
    </row>
    <row r="120" ht="22.5" customHeight="1">
      <c r="A120" s="85">
        <f>IF($V120="","",INDEX($R$2:$R$401,$V120))</f>
        <v/>
      </c>
      <c r="B120" s="4">
        <f>IF($V120="","",INDEX(DIAS_SEMANA,WEEKDAY(INDEX($R$2:$R$401,$V120),2)))</f>
        <v/>
      </c>
      <c r="C120" s="4">
        <f>IF($V120="","","Tema "&amp;INDEX($P$2:$P$401,$V120))</f>
        <v/>
      </c>
      <c r="D120" s="70">
        <f>IF($V120="","",INDEX($Q$2:$Q$401,$V120))</f>
        <v/>
      </c>
      <c r="E120" s="4">
        <f>IF($V120="","",IF(INDEX($S$2:$S$401,$V120)&lt;&gt;"",INDEX($S$2:$S$401,$V120),IF(INDEX($R$2:$R$401,$V120)&lt;$B$2,"Vencida",IF(INDEX($R$2:$R$401,$V120)=$B$2,"Hoy","Programada"))))</f>
        <v/>
      </c>
      <c r="P120" s="26" t="n">
        <v>12</v>
      </c>
      <c r="Q120" s="26" t="n">
        <v>9</v>
      </c>
      <c r="R120" s="26">
        <f>INDEX(Progreso!$AZ$2:$BI$41,$P120,$Q120)</f>
        <v/>
      </c>
      <c r="S120" s="18">
        <f>IF(INDEX(Progreso!$AB$2:$AK$41,$P120,$Q120)=0,"",INDEX(Progreso!$AB$2:$AK$41,$P120,$Q120))</f>
        <v/>
      </c>
      <c r="T120" s="26">
        <f>IF($R120=0,"",COUNTIFS($R$2:$R$401,"&gt;0",$R$2:$R$401,"&lt;"&amp;$R120)+COUNTIFS($R$2:R120,"="&amp;$R120))</f>
        <v/>
      </c>
      <c r="V120" s="26">
        <f>IFERROR(MATCH(ROW()-ROW($V$12),$T$2:$T$401,0),"")</f>
        <v/>
      </c>
    </row>
    <row r="121" ht="22.5" customHeight="1">
      <c r="A121" s="78">
        <f>IF($V121="","",INDEX($R$2:$R$401,$V121))</f>
        <v/>
      </c>
      <c r="B121" s="2">
        <f>IF($V121="","",INDEX(DIAS_SEMANA,WEEKDAY(INDEX($R$2:$R$401,$V121),2)))</f>
        <v/>
      </c>
      <c r="C121" s="2">
        <f>IF($V121="","","Tema "&amp;INDEX($P$2:$P$401,$V121))</f>
        <v/>
      </c>
      <c r="D121" s="69">
        <f>IF($V121="","",INDEX($Q$2:$Q$401,$V121))</f>
        <v/>
      </c>
      <c r="E121" s="2">
        <f>IF($V121="","",IF(INDEX($S$2:$S$401,$V121)&lt;&gt;"",INDEX($S$2:$S$401,$V121),IF(INDEX($R$2:$R$401,$V121)&lt;$B$2,"Vencida",IF(INDEX($R$2:$R$401,$V121)=$B$2,"Hoy","Programada"))))</f>
        <v/>
      </c>
      <c r="P121" s="26" t="n">
        <v>12</v>
      </c>
      <c r="Q121" s="26" t="n">
        <v>10</v>
      </c>
      <c r="R121" s="26">
        <f>INDEX(Progreso!$AZ$2:$BI$41,$P121,$Q121)</f>
        <v/>
      </c>
      <c r="S121" s="18">
        <f>IF(INDEX(Progreso!$AB$2:$AK$41,$P121,$Q121)=0,"",INDEX(Progreso!$AB$2:$AK$41,$P121,$Q121))</f>
        <v/>
      </c>
      <c r="T121" s="26">
        <f>IF($R121=0,"",COUNTIFS($R$2:$R$401,"&gt;0",$R$2:$R$401,"&lt;"&amp;$R121)+COUNTIFS($R$2:R121,"="&amp;$R121))</f>
        <v/>
      </c>
      <c r="V121" s="26">
        <f>IFERROR(MATCH(ROW()-ROW($V$12),$T$2:$T$401,0),"")</f>
        <v/>
      </c>
    </row>
    <row r="122" ht="22.5" customHeight="1">
      <c r="A122" s="85">
        <f>IF($V122="","",INDEX($R$2:$R$401,$V122))</f>
        <v/>
      </c>
      <c r="B122" s="4">
        <f>IF($V122="","",INDEX(DIAS_SEMANA,WEEKDAY(INDEX($R$2:$R$401,$V122),2)))</f>
        <v/>
      </c>
      <c r="C122" s="4">
        <f>IF($V122="","","Tema "&amp;INDEX($P$2:$P$401,$V122))</f>
        <v/>
      </c>
      <c r="D122" s="70">
        <f>IF($V122="","",INDEX($Q$2:$Q$401,$V122))</f>
        <v/>
      </c>
      <c r="E122" s="4">
        <f>IF($V122="","",IF(INDEX($S$2:$S$401,$V122)&lt;&gt;"",INDEX($S$2:$S$401,$V122),IF(INDEX($R$2:$R$401,$V122)&lt;$B$2,"Vencida",IF(INDEX($R$2:$R$401,$V122)=$B$2,"Hoy","Programada"))))</f>
        <v/>
      </c>
      <c r="P122" s="26" t="n">
        <v>13</v>
      </c>
      <c r="Q122" s="26" t="n">
        <v>1</v>
      </c>
      <c r="R122" s="26">
        <f>INDEX(Progreso!$AZ$2:$BI$41,$P122,$Q122)</f>
        <v/>
      </c>
      <c r="S122" s="18">
        <f>IF(INDEX(Progreso!$AB$2:$AK$41,$P122,$Q122)=0,"",INDEX(Progreso!$AB$2:$AK$41,$P122,$Q122))</f>
        <v/>
      </c>
      <c r="T122" s="26">
        <f>IF($R122=0,"",COUNTIFS($R$2:$R$401,"&gt;0",$R$2:$R$401,"&lt;"&amp;$R122)+COUNTIFS($R$2:R122,"="&amp;$R122))</f>
        <v/>
      </c>
      <c r="V122" s="26">
        <f>IFERROR(MATCH(ROW()-ROW($V$12),$T$2:$T$401,0),"")</f>
        <v/>
      </c>
    </row>
    <row r="123" ht="22.5" customHeight="1">
      <c r="A123" s="78">
        <f>IF($V123="","",INDEX($R$2:$R$401,$V123))</f>
        <v/>
      </c>
      <c r="B123" s="2">
        <f>IF($V123="","",INDEX(DIAS_SEMANA,WEEKDAY(INDEX($R$2:$R$401,$V123),2)))</f>
        <v/>
      </c>
      <c r="C123" s="2">
        <f>IF($V123="","","Tema "&amp;INDEX($P$2:$P$401,$V123))</f>
        <v/>
      </c>
      <c r="D123" s="69">
        <f>IF($V123="","",INDEX($Q$2:$Q$401,$V123))</f>
        <v/>
      </c>
      <c r="E123" s="2">
        <f>IF($V123="","",IF(INDEX($S$2:$S$401,$V123)&lt;&gt;"",INDEX($S$2:$S$401,$V123),IF(INDEX($R$2:$R$401,$V123)&lt;$B$2,"Vencida",IF(INDEX($R$2:$R$401,$V123)=$B$2,"Hoy","Programada"))))</f>
        <v/>
      </c>
      <c r="P123" s="26" t="n">
        <v>13</v>
      </c>
      <c r="Q123" s="26" t="n">
        <v>2</v>
      </c>
      <c r="R123" s="26">
        <f>INDEX(Progreso!$AZ$2:$BI$41,$P123,$Q123)</f>
        <v/>
      </c>
      <c r="S123" s="18">
        <f>IF(INDEX(Progreso!$AB$2:$AK$41,$P123,$Q123)=0,"",INDEX(Progreso!$AB$2:$AK$41,$P123,$Q123))</f>
        <v/>
      </c>
      <c r="T123" s="26">
        <f>IF($R123=0,"",COUNTIFS($R$2:$R$401,"&gt;0",$R$2:$R$401,"&lt;"&amp;$R123)+COUNTIFS($R$2:R123,"="&amp;$R123))</f>
        <v/>
      </c>
      <c r="V123" s="26">
        <f>IFERROR(MATCH(ROW()-ROW($V$12),$T$2:$T$401,0),"")</f>
        <v/>
      </c>
    </row>
    <row r="124" ht="22.5" customHeight="1">
      <c r="A124" s="85">
        <f>IF($V124="","",INDEX($R$2:$R$401,$V124))</f>
        <v/>
      </c>
      <c r="B124" s="4">
        <f>IF($V124="","",INDEX(DIAS_SEMANA,WEEKDAY(INDEX($R$2:$R$401,$V124),2)))</f>
        <v/>
      </c>
      <c r="C124" s="4">
        <f>IF($V124="","","Tema "&amp;INDEX($P$2:$P$401,$V124))</f>
        <v/>
      </c>
      <c r="D124" s="70">
        <f>IF($V124="","",INDEX($Q$2:$Q$401,$V124))</f>
        <v/>
      </c>
      <c r="E124" s="4">
        <f>IF($V124="","",IF(INDEX($S$2:$S$401,$V124)&lt;&gt;"",INDEX($S$2:$S$401,$V124),IF(INDEX($R$2:$R$401,$V124)&lt;$B$2,"Vencida",IF(INDEX($R$2:$R$401,$V124)=$B$2,"Hoy","Programada"))))</f>
        <v/>
      </c>
      <c r="P124" s="26" t="n">
        <v>13</v>
      </c>
      <c r="Q124" s="26" t="n">
        <v>3</v>
      </c>
      <c r="R124" s="26">
        <f>INDEX(Progreso!$AZ$2:$BI$41,$P124,$Q124)</f>
        <v/>
      </c>
      <c r="S124" s="18">
        <f>IF(INDEX(Progreso!$AB$2:$AK$41,$P124,$Q124)=0,"",INDEX(Progreso!$AB$2:$AK$41,$P124,$Q124))</f>
        <v/>
      </c>
      <c r="T124" s="26">
        <f>IF($R124=0,"",COUNTIFS($R$2:$R$401,"&gt;0",$R$2:$R$401,"&lt;"&amp;$R124)+COUNTIFS($R$2:R124,"="&amp;$R124))</f>
        <v/>
      </c>
      <c r="V124" s="26">
        <f>IFERROR(MATCH(ROW()-ROW($V$12),$T$2:$T$401,0),"")</f>
        <v/>
      </c>
    </row>
    <row r="125" ht="22.5" customHeight="1">
      <c r="A125" s="78">
        <f>IF($V125="","",INDEX($R$2:$R$401,$V125))</f>
        <v/>
      </c>
      <c r="B125" s="2">
        <f>IF($V125="","",INDEX(DIAS_SEMANA,WEEKDAY(INDEX($R$2:$R$401,$V125),2)))</f>
        <v/>
      </c>
      <c r="C125" s="2">
        <f>IF($V125="","","Tema "&amp;INDEX($P$2:$P$401,$V125))</f>
        <v/>
      </c>
      <c r="D125" s="69">
        <f>IF($V125="","",INDEX($Q$2:$Q$401,$V125))</f>
        <v/>
      </c>
      <c r="E125" s="2">
        <f>IF($V125="","",IF(INDEX($S$2:$S$401,$V125)&lt;&gt;"",INDEX($S$2:$S$401,$V125),IF(INDEX($R$2:$R$401,$V125)&lt;$B$2,"Vencida",IF(INDEX($R$2:$R$401,$V125)=$B$2,"Hoy","Programada"))))</f>
        <v/>
      </c>
      <c r="P125" s="26" t="n">
        <v>13</v>
      </c>
      <c r="Q125" s="26" t="n">
        <v>4</v>
      </c>
      <c r="R125" s="26">
        <f>INDEX(Progreso!$AZ$2:$BI$41,$P125,$Q125)</f>
        <v/>
      </c>
      <c r="S125" s="18">
        <f>IF(INDEX(Progreso!$AB$2:$AK$41,$P125,$Q125)=0,"",INDEX(Progreso!$AB$2:$AK$41,$P125,$Q125))</f>
        <v/>
      </c>
      <c r="T125" s="26">
        <f>IF($R125=0,"",COUNTIFS($R$2:$R$401,"&gt;0",$R$2:$R$401,"&lt;"&amp;$R125)+COUNTIFS($R$2:R125,"="&amp;$R125))</f>
        <v/>
      </c>
      <c r="V125" s="26">
        <f>IFERROR(MATCH(ROW()-ROW($V$12),$T$2:$T$401,0),"")</f>
        <v/>
      </c>
    </row>
    <row r="126" ht="22.5" customHeight="1">
      <c r="A126" s="85">
        <f>IF($V126="","",INDEX($R$2:$R$401,$V126))</f>
        <v/>
      </c>
      <c r="B126" s="4">
        <f>IF($V126="","",INDEX(DIAS_SEMANA,WEEKDAY(INDEX($R$2:$R$401,$V126),2)))</f>
        <v/>
      </c>
      <c r="C126" s="4">
        <f>IF($V126="","","Tema "&amp;INDEX($P$2:$P$401,$V126))</f>
        <v/>
      </c>
      <c r="D126" s="70">
        <f>IF($V126="","",INDEX($Q$2:$Q$401,$V126))</f>
        <v/>
      </c>
      <c r="E126" s="4">
        <f>IF($V126="","",IF(INDEX($S$2:$S$401,$V126)&lt;&gt;"",INDEX($S$2:$S$401,$V126),IF(INDEX($R$2:$R$401,$V126)&lt;$B$2,"Vencida",IF(INDEX($R$2:$R$401,$V126)=$B$2,"Hoy","Programada"))))</f>
        <v/>
      </c>
      <c r="P126" s="26" t="n">
        <v>13</v>
      </c>
      <c r="Q126" s="26" t="n">
        <v>5</v>
      </c>
      <c r="R126" s="26">
        <f>INDEX(Progreso!$AZ$2:$BI$41,$P126,$Q126)</f>
        <v/>
      </c>
      <c r="S126" s="18">
        <f>IF(INDEX(Progreso!$AB$2:$AK$41,$P126,$Q126)=0,"",INDEX(Progreso!$AB$2:$AK$41,$P126,$Q126))</f>
        <v/>
      </c>
      <c r="T126" s="26">
        <f>IF($R126=0,"",COUNTIFS($R$2:$R$401,"&gt;0",$R$2:$R$401,"&lt;"&amp;$R126)+COUNTIFS($R$2:R126,"="&amp;$R126))</f>
        <v/>
      </c>
      <c r="V126" s="26">
        <f>IFERROR(MATCH(ROW()-ROW($V$12),$T$2:$T$401,0),"")</f>
        <v/>
      </c>
    </row>
    <row r="127" ht="22.5" customHeight="1">
      <c r="A127" s="78">
        <f>IF($V127="","",INDEX($R$2:$R$401,$V127))</f>
        <v/>
      </c>
      <c r="B127" s="2">
        <f>IF($V127="","",INDEX(DIAS_SEMANA,WEEKDAY(INDEX($R$2:$R$401,$V127),2)))</f>
        <v/>
      </c>
      <c r="C127" s="2">
        <f>IF($V127="","","Tema "&amp;INDEX($P$2:$P$401,$V127))</f>
        <v/>
      </c>
      <c r="D127" s="69">
        <f>IF($V127="","",INDEX($Q$2:$Q$401,$V127))</f>
        <v/>
      </c>
      <c r="E127" s="2">
        <f>IF($V127="","",IF(INDEX($S$2:$S$401,$V127)&lt;&gt;"",INDEX($S$2:$S$401,$V127),IF(INDEX($R$2:$R$401,$V127)&lt;$B$2,"Vencida",IF(INDEX($R$2:$R$401,$V127)=$B$2,"Hoy","Programada"))))</f>
        <v/>
      </c>
      <c r="P127" s="26" t="n">
        <v>13</v>
      </c>
      <c r="Q127" s="26" t="n">
        <v>6</v>
      </c>
      <c r="R127" s="26">
        <f>INDEX(Progreso!$AZ$2:$BI$41,$P127,$Q127)</f>
        <v/>
      </c>
      <c r="S127" s="18">
        <f>IF(INDEX(Progreso!$AB$2:$AK$41,$P127,$Q127)=0,"",INDEX(Progreso!$AB$2:$AK$41,$P127,$Q127))</f>
        <v/>
      </c>
      <c r="T127" s="26">
        <f>IF($R127=0,"",COUNTIFS($R$2:$R$401,"&gt;0",$R$2:$R$401,"&lt;"&amp;$R127)+COUNTIFS($R$2:R127,"="&amp;$R127))</f>
        <v/>
      </c>
      <c r="V127" s="26">
        <f>IFERROR(MATCH(ROW()-ROW($V$12),$T$2:$T$401,0),"")</f>
        <v/>
      </c>
    </row>
    <row r="128" ht="22.5" customHeight="1">
      <c r="A128" s="85">
        <f>IF($V128="","",INDEX($R$2:$R$401,$V128))</f>
        <v/>
      </c>
      <c r="B128" s="4">
        <f>IF($V128="","",INDEX(DIAS_SEMANA,WEEKDAY(INDEX($R$2:$R$401,$V128),2)))</f>
        <v/>
      </c>
      <c r="C128" s="4">
        <f>IF($V128="","","Tema "&amp;INDEX($P$2:$P$401,$V128))</f>
        <v/>
      </c>
      <c r="D128" s="70">
        <f>IF($V128="","",INDEX($Q$2:$Q$401,$V128))</f>
        <v/>
      </c>
      <c r="E128" s="4">
        <f>IF($V128="","",IF(INDEX($S$2:$S$401,$V128)&lt;&gt;"",INDEX($S$2:$S$401,$V128),IF(INDEX($R$2:$R$401,$V128)&lt;$B$2,"Vencida",IF(INDEX($R$2:$R$401,$V128)=$B$2,"Hoy","Programada"))))</f>
        <v/>
      </c>
      <c r="P128" s="26" t="n">
        <v>13</v>
      </c>
      <c r="Q128" s="26" t="n">
        <v>7</v>
      </c>
      <c r="R128" s="26">
        <f>INDEX(Progreso!$AZ$2:$BI$41,$P128,$Q128)</f>
        <v/>
      </c>
      <c r="S128" s="18">
        <f>IF(INDEX(Progreso!$AB$2:$AK$41,$P128,$Q128)=0,"",INDEX(Progreso!$AB$2:$AK$41,$P128,$Q128))</f>
        <v/>
      </c>
      <c r="T128" s="26">
        <f>IF($R128=0,"",COUNTIFS($R$2:$R$401,"&gt;0",$R$2:$R$401,"&lt;"&amp;$R128)+COUNTIFS($R$2:R128,"="&amp;$R128))</f>
        <v/>
      </c>
      <c r="V128" s="26">
        <f>IFERROR(MATCH(ROW()-ROW($V$12),$T$2:$T$401,0),"")</f>
        <v/>
      </c>
    </row>
    <row r="129" ht="22.5" customHeight="1">
      <c r="A129" s="78">
        <f>IF($V129="","",INDEX($R$2:$R$401,$V129))</f>
        <v/>
      </c>
      <c r="B129" s="2">
        <f>IF($V129="","",INDEX(DIAS_SEMANA,WEEKDAY(INDEX($R$2:$R$401,$V129),2)))</f>
        <v/>
      </c>
      <c r="C129" s="2">
        <f>IF($V129="","","Tema "&amp;INDEX($P$2:$P$401,$V129))</f>
        <v/>
      </c>
      <c r="D129" s="69">
        <f>IF($V129="","",INDEX($Q$2:$Q$401,$V129))</f>
        <v/>
      </c>
      <c r="E129" s="2">
        <f>IF($V129="","",IF(INDEX($S$2:$S$401,$V129)&lt;&gt;"",INDEX($S$2:$S$401,$V129),IF(INDEX($R$2:$R$401,$V129)&lt;$B$2,"Vencida",IF(INDEX($R$2:$R$401,$V129)=$B$2,"Hoy","Programada"))))</f>
        <v/>
      </c>
      <c r="P129" s="26" t="n">
        <v>13</v>
      </c>
      <c r="Q129" s="26" t="n">
        <v>8</v>
      </c>
      <c r="R129" s="26">
        <f>INDEX(Progreso!$AZ$2:$BI$41,$P129,$Q129)</f>
        <v/>
      </c>
      <c r="S129" s="18">
        <f>IF(INDEX(Progreso!$AB$2:$AK$41,$P129,$Q129)=0,"",INDEX(Progreso!$AB$2:$AK$41,$P129,$Q129))</f>
        <v/>
      </c>
      <c r="T129" s="26">
        <f>IF($R129=0,"",COUNTIFS($R$2:$R$401,"&gt;0",$R$2:$R$401,"&lt;"&amp;$R129)+COUNTIFS($R$2:R129,"="&amp;$R129))</f>
        <v/>
      </c>
      <c r="V129" s="26">
        <f>IFERROR(MATCH(ROW()-ROW($V$12),$T$2:$T$401,0),"")</f>
        <v/>
      </c>
    </row>
    <row r="130" ht="22.5" customHeight="1">
      <c r="A130" s="85">
        <f>IF($V130="","",INDEX($R$2:$R$401,$V130))</f>
        <v/>
      </c>
      <c r="B130" s="4">
        <f>IF($V130="","",INDEX(DIAS_SEMANA,WEEKDAY(INDEX($R$2:$R$401,$V130),2)))</f>
        <v/>
      </c>
      <c r="C130" s="4">
        <f>IF($V130="","","Tema "&amp;INDEX($P$2:$P$401,$V130))</f>
        <v/>
      </c>
      <c r="D130" s="70">
        <f>IF($V130="","",INDEX($Q$2:$Q$401,$V130))</f>
        <v/>
      </c>
      <c r="E130" s="4">
        <f>IF($V130="","",IF(INDEX($S$2:$S$401,$V130)&lt;&gt;"",INDEX($S$2:$S$401,$V130),IF(INDEX($R$2:$R$401,$V130)&lt;$B$2,"Vencida",IF(INDEX($R$2:$R$401,$V130)=$B$2,"Hoy","Programada"))))</f>
        <v/>
      </c>
      <c r="P130" s="26" t="n">
        <v>13</v>
      </c>
      <c r="Q130" s="26" t="n">
        <v>9</v>
      </c>
      <c r="R130" s="26">
        <f>INDEX(Progreso!$AZ$2:$BI$41,$P130,$Q130)</f>
        <v/>
      </c>
      <c r="S130" s="18">
        <f>IF(INDEX(Progreso!$AB$2:$AK$41,$P130,$Q130)=0,"",INDEX(Progreso!$AB$2:$AK$41,$P130,$Q130))</f>
        <v/>
      </c>
      <c r="T130" s="26">
        <f>IF($R130=0,"",COUNTIFS($R$2:$R$401,"&gt;0",$R$2:$R$401,"&lt;"&amp;$R130)+COUNTIFS($R$2:R130,"="&amp;$R130))</f>
        <v/>
      </c>
      <c r="V130" s="26">
        <f>IFERROR(MATCH(ROW()-ROW($V$12),$T$2:$T$401,0),"")</f>
        <v/>
      </c>
    </row>
    <row r="131" ht="22.5" customHeight="1">
      <c r="A131" s="78">
        <f>IF($V131="","",INDEX($R$2:$R$401,$V131))</f>
        <v/>
      </c>
      <c r="B131" s="2">
        <f>IF($V131="","",INDEX(DIAS_SEMANA,WEEKDAY(INDEX($R$2:$R$401,$V131),2)))</f>
        <v/>
      </c>
      <c r="C131" s="2">
        <f>IF($V131="","","Tema "&amp;INDEX($P$2:$P$401,$V131))</f>
        <v/>
      </c>
      <c r="D131" s="69">
        <f>IF($V131="","",INDEX($Q$2:$Q$401,$V131))</f>
        <v/>
      </c>
      <c r="E131" s="2">
        <f>IF($V131="","",IF(INDEX($S$2:$S$401,$V131)&lt;&gt;"",INDEX($S$2:$S$401,$V131),IF(INDEX($R$2:$R$401,$V131)&lt;$B$2,"Vencida",IF(INDEX($R$2:$R$401,$V131)=$B$2,"Hoy","Programada"))))</f>
        <v/>
      </c>
      <c r="P131" s="26" t="n">
        <v>13</v>
      </c>
      <c r="Q131" s="26" t="n">
        <v>10</v>
      </c>
      <c r="R131" s="26">
        <f>INDEX(Progreso!$AZ$2:$BI$41,$P131,$Q131)</f>
        <v/>
      </c>
      <c r="S131" s="18">
        <f>IF(INDEX(Progreso!$AB$2:$AK$41,$P131,$Q131)=0,"",INDEX(Progreso!$AB$2:$AK$41,$P131,$Q131))</f>
        <v/>
      </c>
      <c r="T131" s="26">
        <f>IF($R131=0,"",COUNTIFS($R$2:$R$401,"&gt;0",$R$2:$R$401,"&lt;"&amp;$R131)+COUNTIFS($R$2:R131,"="&amp;$R131))</f>
        <v/>
      </c>
      <c r="V131" s="26">
        <f>IFERROR(MATCH(ROW()-ROW($V$12),$T$2:$T$401,0),"")</f>
        <v/>
      </c>
    </row>
    <row r="132" ht="22.5" customHeight="1">
      <c r="A132" s="85">
        <f>IF($V132="","",INDEX($R$2:$R$401,$V132))</f>
        <v/>
      </c>
      <c r="B132" s="4">
        <f>IF($V132="","",INDEX(DIAS_SEMANA,WEEKDAY(INDEX($R$2:$R$401,$V132),2)))</f>
        <v/>
      </c>
      <c r="C132" s="4">
        <f>IF($V132="","","Tema "&amp;INDEX($P$2:$P$401,$V132))</f>
        <v/>
      </c>
      <c r="D132" s="70">
        <f>IF($V132="","",INDEX($Q$2:$Q$401,$V132))</f>
        <v/>
      </c>
      <c r="E132" s="4">
        <f>IF($V132="","",IF(INDEX($S$2:$S$401,$V132)&lt;&gt;"",INDEX($S$2:$S$401,$V132),IF(INDEX($R$2:$R$401,$V132)&lt;$B$2,"Vencida",IF(INDEX($R$2:$R$401,$V132)=$B$2,"Hoy","Programada"))))</f>
        <v/>
      </c>
      <c r="P132" s="26" t="n">
        <v>14</v>
      </c>
      <c r="Q132" s="26" t="n">
        <v>1</v>
      </c>
      <c r="R132" s="26">
        <f>INDEX(Progreso!$AZ$2:$BI$41,$P132,$Q132)</f>
        <v/>
      </c>
      <c r="S132" s="18">
        <f>IF(INDEX(Progreso!$AB$2:$AK$41,$P132,$Q132)=0,"",INDEX(Progreso!$AB$2:$AK$41,$P132,$Q132))</f>
        <v/>
      </c>
      <c r="T132" s="26">
        <f>IF($R132=0,"",COUNTIFS($R$2:$R$401,"&gt;0",$R$2:$R$401,"&lt;"&amp;$R132)+COUNTIFS($R$2:R132,"="&amp;$R132))</f>
        <v/>
      </c>
      <c r="V132" s="26">
        <f>IFERROR(MATCH(ROW()-ROW($V$12),$T$2:$T$401,0),"")</f>
        <v/>
      </c>
    </row>
    <row r="133" ht="22.5" customHeight="1">
      <c r="A133" s="78">
        <f>IF($V133="","",INDEX($R$2:$R$401,$V133))</f>
        <v/>
      </c>
      <c r="B133" s="2">
        <f>IF($V133="","",INDEX(DIAS_SEMANA,WEEKDAY(INDEX($R$2:$R$401,$V133),2)))</f>
        <v/>
      </c>
      <c r="C133" s="2">
        <f>IF($V133="","","Tema "&amp;INDEX($P$2:$P$401,$V133))</f>
        <v/>
      </c>
      <c r="D133" s="69">
        <f>IF($V133="","",INDEX($Q$2:$Q$401,$V133))</f>
        <v/>
      </c>
      <c r="E133" s="2">
        <f>IF($V133="","",IF(INDEX($S$2:$S$401,$V133)&lt;&gt;"",INDEX($S$2:$S$401,$V133),IF(INDEX($R$2:$R$401,$V133)&lt;$B$2,"Vencida",IF(INDEX($R$2:$R$401,$V133)=$B$2,"Hoy","Programada"))))</f>
        <v/>
      </c>
      <c r="P133" s="26" t="n">
        <v>14</v>
      </c>
      <c r="Q133" s="26" t="n">
        <v>2</v>
      </c>
      <c r="R133" s="26">
        <f>INDEX(Progreso!$AZ$2:$BI$41,$P133,$Q133)</f>
        <v/>
      </c>
      <c r="S133" s="18">
        <f>IF(INDEX(Progreso!$AB$2:$AK$41,$P133,$Q133)=0,"",INDEX(Progreso!$AB$2:$AK$41,$P133,$Q133))</f>
        <v/>
      </c>
      <c r="T133" s="26">
        <f>IF($R133=0,"",COUNTIFS($R$2:$R$401,"&gt;0",$R$2:$R$401,"&lt;"&amp;$R133)+COUNTIFS($R$2:R133,"="&amp;$R133))</f>
        <v/>
      </c>
      <c r="V133" s="26">
        <f>IFERROR(MATCH(ROW()-ROW($V$12),$T$2:$T$401,0),"")</f>
        <v/>
      </c>
    </row>
    <row r="134" ht="22.5" customHeight="1">
      <c r="A134" s="85">
        <f>IF($V134="","",INDEX($R$2:$R$401,$V134))</f>
        <v/>
      </c>
      <c r="B134" s="4">
        <f>IF($V134="","",INDEX(DIAS_SEMANA,WEEKDAY(INDEX($R$2:$R$401,$V134),2)))</f>
        <v/>
      </c>
      <c r="C134" s="4">
        <f>IF($V134="","","Tema "&amp;INDEX($P$2:$P$401,$V134))</f>
        <v/>
      </c>
      <c r="D134" s="70">
        <f>IF($V134="","",INDEX($Q$2:$Q$401,$V134))</f>
        <v/>
      </c>
      <c r="E134" s="4">
        <f>IF($V134="","",IF(INDEX($S$2:$S$401,$V134)&lt;&gt;"",INDEX($S$2:$S$401,$V134),IF(INDEX($R$2:$R$401,$V134)&lt;$B$2,"Vencida",IF(INDEX($R$2:$R$401,$V134)=$B$2,"Hoy","Programada"))))</f>
        <v/>
      </c>
      <c r="P134" s="26" t="n">
        <v>14</v>
      </c>
      <c r="Q134" s="26" t="n">
        <v>3</v>
      </c>
      <c r="R134" s="26">
        <f>INDEX(Progreso!$AZ$2:$BI$41,$P134,$Q134)</f>
        <v/>
      </c>
      <c r="S134" s="18">
        <f>IF(INDEX(Progreso!$AB$2:$AK$41,$P134,$Q134)=0,"",INDEX(Progreso!$AB$2:$AK$41,$P134,$Q134))</f>
        <v/>
      </c>
      <c r="T134" s="26">
        <f>IF($R134=0,"",COUNTIFS($R$2:$R$401,"&gt;0",$R$2:$R$401,"&lt;"&amp;$R134)+COUNTIFS($R$2:R134,"="&amp;$R134))</f>
        <v/>
      </c>
      <c r="V134" s="26">
        <f>IFERROR(MATCH(ROW()-ROW($V$12),$T$2:$T$401,0),"")</f>
        <v/>
      </c>
    </row>
    <row r="135" ht="22.5" customHeight="1">
      <c r="A135" s="78">
        <f>IF($V135="","",INDEX($R$2:$R$401,$V135))</f>
        <v/>
      </c>
      <c r="B135" s="2">
        <f>IF($V135="","",INDEX(DIAS_SEMANA,WEEKDAY(INDEX($R$2:$R$401,$V135),2)))</f>
        <v/>
      </c>
      <c r="C135" s="2">
        <f>IF($V135="","","Tema "&amp;INDEX($P$2:$P$401,$V135))</f>
        <v/>
      </c>
      <c r="D135" s="69">
        <f>IF($V135="","",INDEX($Q$2:$Q$401,$V135))</f>
        <v/>
      </c>
      <c r="E135" s="2">
        <f>IF($V135="","",IF(INDEX($S$2:$S$401,$V135)&lt;&gt;"",INDEX($S$2:$S$401,$V135),IF(INDEX($R$2:$R$401,$V135)&lt;$B$2,"Vencida",IF(INDEX($R$2:$R$401,$V135)=$B$2,"Hoy","Programada"))))</f>
        <v/>
      </c>
      <c r="P135" s="26" t="n">
        <v>14</v>
      </c>
      <c r="Q135" s="26" t="n">
        <v>4</v>
      </c>
      <c r="R135" s="26">
        <f>INDEX(Progreso!$AZ$2:$BI$41,$P135,$Q135)</f>
        <v/>
      </c>
      <c r="S135" s="18">
        <f>IF(INDEX(Progreso!$AB$2:$AK$41,$P135,$Q135)=0,"",INDEX(Progreso!$AB$2:$AK$41,$P135,$Q135))</f>
        <v/>
      </c>
      <c r="T135" s="26">
        <f>IF($R135=0,"",COUNTIFS($R$2:$R$401,"&gt;0",$R$2:$R$401,"&lt;"&amp;$R135)+COUNTIFS($R$2:R135,"="&amp;$R135))</f>
        <v/>
      </c>
      <c r="V135" s="26">
        <f>IFERROR(MATCH(ROW()-ROW($V$12),$T$2:$T$401,0),"")</f>
        <v/>
      </c>
    </row>
    <row r="136" ht="22.5" customHeight="1">
      <c r="A136" s="85">
        <f>IF($V136="","",INDEX($R$2:$R$401,$V136))</f>
        <v/>
      </c>
      <c r="B136" s="4">
        <f>IF($V136="","",INDEX(DIAS_SEMANA,WEEKDAY(INDEX($R$2:$R$401,$V136),2)))</f>
        <v/>
      </c>
      <c r="C136" s="4">
        <f>IF($V136="","","Tema "&amp;INDEX($P$2:$P$401,$V136))</f>
        <v/>
      </c>
      <c r="D136" s="70">
        <f>IF($V136="","",INDEX($Q$2:$Q$401,$V136))</f>
        <v/>
      </c>
      <c r="E136" s="4">
        <f>IF($V136="","",IF(INDEX($S$2:$S$401,$V136)&lt;&gt;"",INDEX($S$2:$S$401,$V136),IF(INDEX($R$2:$R$401,$V136)&lt;$B$2,"Vencida",IF(INDEX($R$2:$R$401,$V136)=$B$2,"Hoy","Programada"))))</f>
        <v/>
      </c>
      <c r="P136" s="26" t="n">
        <v>14</v>
      </c>
      <c r="Q136" s="26" t="n">
        <v>5</v>
      </c>
      <c r="R136" s="26">
        <f>INDEX(Progreso!$AZ$2:$BI$41,$P136,$Q136)</f>
        <v/>
      </c>
      <c r="S136" s="18">
        <f>IF(INDEX(Progreso!$AB$2:$AK$41,$P136,$Q136)=0,"",INDEX(Progreso!$AB$2:$AK$41,$P136,$Q136))</f>
        <v/>
      </c>
      <c r="T136" s="26">
        <f>IF($R136=0,"",COUNTIFS($R$2:$R$401,"&gt;0",$R$2:$R$401,"&lt;"&amp;$R136)+COUNTIFS($R$2:R136,"="&amp;$R136))</f>
        <v/>
      </c>
      <c r="V136" s="26">
        <f>IFERROR(MATCH(ROW()-ROW($V$12),$T$2:$T$401,0),"")</f>
        <v/>
      </c>
    </row>
    <row r="137" ht="22.5" customHeight="1">
      <c r="A137" s="78">
        <f>IF($V137="","",INDEX($R$2:$R$401,$V137))</f>
        <v/>
      </c>
      <c r="B137" s="2">
        <f>IF($V137="","",INDEX(DIAS_SEMANA,WEEKDAY(INDEX($R$2:$R$401,$V137),2)))</f>
        <v/>
      </c>
      <c r="C137" s="2">
        <f>IF($V137="","","Tema "&amp;INDEX($P$2:$P$401,$V137))</f>
        <v/>
      </c>
      <c r="D137" s="69">
        <f>IF($V137="","",INDEX($Q$2:$Q$401,$V137))</f>
        <v/>
      </c>
      <c r="E137" s="2">
        <f>IF($V137="","",IF(INDEX($S$2:$S$401,$V137)&lt;&gt;"",INDEX($S$2:$S$401,$V137),IF(INDEX($R$2:$R$401,$V137)&lt;$B$2,"Vencida",IF(INDEX($R$2:$R$401,$V137)=$B$2,"Hoy","Programada"))))</f>
        <v/>
      </c>
      <c r="P137" s="26" t="n">
        <v>14</v>
      </c>
      <c r="Q137" s="26" t="n">
        <v>6</v>
      </c>
      <c r="R137" s="26">
        <f>INDEX(Progreso!$AZ$2:$BI$41,$P137,$Q137)</f>
        <v/>
      </c>
      <c r="S137" s="18">
        <f>IF(INDEX(Progreso!$AB$2:$AK$41,$P137,$Q137)=0,"",INDEX(Progreso!$AB$2:$AK$41,$P137,$Q137))</f>
        <v/>
      </c>
      <c r="T137" s="26">
        <f>IF($R137=0,"",COUNTIFS($R$2:$R$401,"&gt;0",$R$2:$R$401,"&lt;"&amp;$R137)+COUNTIFS($R$2:R137,"="&amp;$R137))</f>
        <v/>
      </c>
      <c r="V137" s="26">
        <f>IFERROR(MATCH(ROW()-ROW($V$12),$T$2:$T$401,0),"")</f>
        <v/>
      </c>
    </row>
    <row r="138" ht="22.5" customHeight="1">
      <c r="A138" s="85">
        <f>IF($V138="","",INDEX($R$2:$R$401,$V138))</f>
        <v/>
      </c>
      <c r="B138" s="4">
        <f>IF($V138="","",INDEX(DIAS_SEMANA,WEEKDAY(INDEX($R$2:$R$401,$V138),2)))</f>
        <v/>
      </c>
      <c r="C138" s="4">
        <f>IF($V138="","","Tema "&amp;INDEX($P$2:$P$401,$V138))</f>
        <v/>
      </c>
      <c r="D138" s="70">
        <f>IF($V138="","",INDEX($Q$2:$Q$401,$V138))</f>
        <v/>
      </c>
      <c r="E138" s="4">
        <f>IF($V138="","",IF(INDEX($S$2:$S$401,$V138)&lt;&gt;"",INDEX($S$2:$S$401,$V138),IF(INDEX($R$2:$R$401,$V138)&lt;$B$2,"Vencida",IF(INDEX($R$2:$R$401,$V138)=$B$2,"Hoy","Programada"))))</f>
        <v/>
      </c>
      <c r="P138" s="26" t="n">
        <v>14</v>
      </c>
      <c r="Q138" s="26" t="n">
        <v>7</v>
      </c>
      <c r="R138" s="26">
        <f>INDEX(Progreso!$AZ$2:$BI$41,$P138,$Q138)</f>
        <v/>
      </c>
      <c r="S138" s="18">
        <f>IF(INDEX(Progreso!$AB$2:$AK$41,$P138,$Q138)=0,"",INDEX(Progreso!$AB$2:$AK$41,$P138,$Q138))</f>
        <v/>
      </c>
      <c r="T138" s="26">
        <f>IF($R138=0,"",COUNTIFS($R$2:$R$401,"&gt;0",$R$2:$R$401,"&lt;"&amp;$R138)+COUNTIFS($R$2:R138,"="&amp;$R138))</f>
        <v/>
      </c>
      <c r="V138" s="26">
        <f>IFERROR(MATCH(ROW()-ROW($V$12),$T$2:$T$401,0),"")</f>
        <v/>
      </c>
    </row>
    <row r="139" ht="22.5" customHeight="1">
      <c r="A139" s="78">
        <f>IF($V139="","",INDEX($R$2:$R$401,$V139))</f>
        <v/>
      </c>
      <c r="B139" s="2">
        <f>IF($V139="","",INDEX(DIAS_SEMANA,WEEKDAY(INDEX($R$2:$R$401,$V139),2)))</f>
        <v/>
      </c>
      <c r="C139" s="2">
        <f>IF($V139="","","Tema "&amp;INDEX($P$2:$P$401,$V139))</f>
        <v/>
      </c>
      <c r="D139" s="69">
        <f>IF($V139="","",INDEX($Q$2:$Q$401,$V139))</f>
        <v/>
      </c>
      <c r="E139" s="2">
        <f>IF($V139="","",IF(INDEX($S$2:$S$401,$V139)&lt;&gt;"",INDEX($S$2:$S$401,$V139),IF(INDEX($R$2:$R$401,$V139)&lt;$B$2,"Vencida",IF(INDEX($R$2:$R$401,$V139)=$B$2,"Hoy","Programada"))))</f>
        <v/>
      </c>
      <c r="P139" s="26" t="n">
        <v>14</v>
      </c>
      <c r="Q139" s="26" t="n">
        <v>8</v>
      </c>
      <c r="R139" s="26">
        <f>INDEX(Progreso!$AZ$2:$BI$41,$P139,$Q139)</f>
        <v/>
      </c>
      <c r="S139" s="18">
        <f>IF(INDEX(Progreso!$AB$2:$AK$41,$P139,$Q139)=0,"",INDEX(Progreso!$AB$2:$AK$41,$P139,$Q139))</f>
        <v/>
      </c>
      <c r="T139" s="26">
        <f>IF($R139=0,"",COUNTIFS($R$2:$R$401,"&gt;0",$R$2:$R$401,"&lt;"&amp;$R139)+COUNTIFS($R$2:R139,"="&amp;$R139))</f>
        <v/>
      </c>
      <c r="V139" s="26">
        <f>IFERROR(MATCH(ROW()-ROW($V$12),$T$2:$T$401,0),"")</f>
        <v/>
      </c>
    </row>
    <row r="140" ht="22.5" customHeight="1">
      <c r="A140" s="85">
        <f>IF($V140="","",INDEX($R$2:$R$401,$V140))</f>
        <v/>
      </c>
      <c r="B140" s="4">
        <f>IF($V140="","",INDEX(DIAS_SEMANA,WEEKDAY(INDEX($R$2:$R$401,$V140),2)))</f>
        <v/>
      </c>
      <c r="C140" s="4">
        <f>IF($V140="","","Tema "&amp;INDEX($P$2:$P$401,$V140))</f>
        <v/>
      </c>
      <c r="D140" s="70">
        <f>IF($V140="","",INDEX($Q$2:$Q$401,$V140))</f>
        <v/>
      </c>
      <c r="E140" s="4">
        <f>IF($V140="","",IF(INDEX($S$2:$S$401,$V140)&lt;&gt;"",INDEX($S$2:$S$401,$V140),IF(INDEX($R$2:$R$401,$V140)&lt;$B$2,"Vencida",IF(INDEX($R$2:$R$401,$V140)=$B$2,"Hoy","Programada"))))</f>
        <v/>
      </c>
      <c r="P140" s="26" t="n">
        <v>14</v>
      </c>
      <c r="Q140" s="26" t="n">
        <v>9</v>
      </c>
      <c r="R140" s="26">
        <f>INDEX(Progreso!$AZ$2:$BI$41,$P140,$Q140)</f>
        <v/>
      </c>
      <c r="S140" s="18">
        <f>IF(INDEX(Progreso!$AB$2:$AK$41,$P140,$Q140)=0,"",INDEX(Progreso!$AB$2:$AK$41,$P140,$Q140))</f>
        <v/>
      </c>
      <c r="T140" s="26">
        <f>IF($R140=0,"",COUNTIFS($R$2:$R$401,"&gt;0",$R$2:$R$401,"&lt;"&amp;$R140)+COUNTIFS($R$2:R140,"="&amp;$R140))</f>
        <v/>
      </c>
      <c r="V140" s="26">
        <f>IFERROR(MATCH(ROW()-ROW($V$12),$T$2:$T$401,0),"")</f>
        <v/>
      </c>
    </row>
    <row r="141" ht="22.5" customHeight="1">
      <c r="A141" s="78">
        <f>IF($V141="","",INDEX($R$2:$R$401,$V141))</f>
        <v/>
      </c>
      <c r="B141" s="2">
        <f>IF($V141="","",INDEX(DIAS_SEMANA,WEEKDAY(INDEX($R$2:$R$401,$V141),2)))</f>
        <v/>
      </c>
      <c r="C141" s="2">
        <f>IF($V141="","","Tema "&amp;INDEX($P$2:$P$401,$V141))</f>
        <v/>
      </c>
      <c r="D141" s="69">
        <f>IF($V141="","",INDEX($Q$2:$Q$401,$V141))</f>
        <v/>
      </c>
      <c r="E141" s="2">
        <f>IF($V141="","",IF(INDEX($S$2:$S$401,$V141)&lt;&gt;"",INDEX($S$2:$S$401,$V141),IF(INDEX($R$2:$R$401,$V141)&lt;$B$2,"Vencida",IF(INDEX($R$2:$R$401,$V141)=$B$2,"Hoy","Programada"))))</f>
        <v/>
      </c>
      <c r="P141" s="26" t="n">
        <v>14</v>
      </c>
      <c r="Q141" s="26" t="n">
        <v>10</v>
      </c>
      <c r="R141" s="26">
        <f>INDEX(Progreso!$AZ$2:$BI$41,$P141,$Q141)</f>
        <v/>
      </c>
      <c r="S141" s="18">
        <f>IF(INDEX(Progreso!$AB$2:$AK$41,$P141,$Q141)=0,"",INDEX(Progreso!$AB$2:$AK$41,$P141,$Q141))</f>
        <v/>
      </c>
      <c r="T141" s="26">
        <f>IF($R141=0,"",COUNTIFS($R$2:$R$401,"&gt;0",$R$2:$R$401,"&lt;"&amp;$R141)+COUNTIFS($R$2:R141,"="&amp;$R141))</f>
        <v/>
      </c>
      <c r="V141" s="26">
        <f>IFERROR(MATCH(ROW()-ROW($V$12),$T$2:$T$401,0),"")</f>
        <v/>
      </c>
    </row>
    <row r="142" ht="22.5" customHeight="1">
      <c r="A142" s="85">
        <f>IF($V142="","",INDEX($R$2:$R$401,$V142))</f>
        <v/>
      </c>
      <c r="B142" s="4">
        <f>IF($V142="","",INDEX(DIAS_SEMANA,WEEKDAY(INDEX($R$2:$R$401,$V142),2)))</f>
        <v/>
      </c>
      <c r="C142" s="4">
        <f>IF($V142="","","Tema "&amp;INDEX($P$2:$P$401,$V142))</f>
        <v/>
      </c>
      <c r="D142" s="70">
        <f>IF($V142="","",INDEX($Q$2:$Q$401,$V142))</f>
        <v/>
      </c>
      <c r="E142" s="4">
        <f>IF($V142="","",IF(INDEX($S$2:$S$401,$V142)&lt;&gt;"",INDEX($S$2:$S$401,$V142),IF(INDEX($R$2:$R$401,$V142)&lt;$B$2,"Vencida",IF(INDEX($R$2:$R$401,$V142)=$B$2,"Hoy","Programada"))))</f>
        <v/>
      </c>
      <c r="P142" s="26" t="n">
        <v>15</v>
      </c>
      <c r="Q142" s="26" t="n">
        <v>1</v>
      </c>
      <c r="R142" s="26">
        <f>INDEX(Progreso!$AZ$2:$BI$41,$P142,$Q142)</f>
        <v/>
      </c>
      <c r="S142" s="18">
        <f>IF(INDEX(Progreso!$AB$2:$AK$41,$P142,$Q142)=0,"",INDEX(Progreso!$AB$2:$AK$41,$P142,$Q142))</f>
        <v/>
      </c>
      <c r="T142" s="26">
        <f>IF($R142=0,"",COUNTIFS($R$2:$R$401,"&gt;0",$R$2:$R$401,"&lt;"&amp;$R142)+COUNTIFS($R$2:R142,"="&amp;$R142))</f>
        <v/>
      </c>
      <c r="V142" s="26">
        <f>IFERROR(MATCH(ROW()-ROW($V$12),$T$2:$T$401,0),"")</f>
        <v/>
      </c>
    </row>
    <row r="143" ht="22.5" customHeight="1">
      <c r="A143" s="78">
        <f>IF($V143="","",INDEX($R$2:$R$401,$V143))</f>
        <v/>
      </c>
      <c r="B143" s="2">
        <f>IF($V143="","",INDEX(DIAS_SEMANA,WEEKDAY(INDEX($R$2:$R$401,$V143),2)))</f>
        <v/>
      </c>
      <c r="C143" s="2">
        <f>IF($V143="","","Tema "&amp;INDEX($P$2:$P$401,$V143))</f>
        <v/>
      </c>
      <c r="D143" s="69">
        <f>IF($V143="","",INDEX($Q$2:$Q$401,$V143))</f>
        <v/>
      </c>
      <c r="E143" s="2">
        <f>IF($V143="","",IF(INDEX($S$2:$S$401,$V143)&lt;&gt;"",INDEX($S$2:$S$401,$V143),IF(INDEX($R$2:$R$401,$V143)&lt;$B$2,"Vencida",IF(INDEX($R$2:$R$401,$V143)=$B$2,"Hoy","Programada"))))</f>
        <v/>
      </c>
      <c r="P143" s="26" t="n">
        <v>15</v>
      </c>
      <c r="Q143" s="26" t="n">
        <v>2</v>
      </c>
      <c r="R143" s="26">
        <f>INDEX(Progreso!$AZ$2:$BI$41,$P143,$Q143)</f>
        <v/>
      </c>
      <c r="S143" s="18">
        <f>IF(INDEX(Progreso!$AB$2:$AK$41,$P143,$Q143)=0,"",INDEX(Progreso!$AB$2:$AK$41,$P143,$Q143))</f>
        <v/>
      </c>
      <c r="T143" s="26">
        <f>IF($R143=0,"",COUNTIFS($R$2:$R$401,"&gt;0",$R$2:$R$401,"&lt;"&amp;$R143)+COUNTIFS($R$2:R143,"="&amp;$R143))</f>
        <v/>
      </c>
      <c r="V143" s="26">
        <f>IFERROR(MATCH(ROW()-ROW($V$12),$T$2:$T$401,0),"")</f>
        <v/>
      </c>
    </row>
    <row r="144" ht="22.5" customHeight="1">
      <c r="A144" s="85">
        <f>IF($V144="","",INDEX($R$2:$R$401,$V144))</f>
        <v/>
      </c>
      <c r="B144" s="4">
        <f>IF($V144="","",INDEX(DIAS_SEMANA,WEEKDAY(INDEX($R$2:$R$401,$V144),2)))</f>
        <v/>
      </c>
      <c r="C144" s="4">
        <f>IF($V144="","","Tema "&amp;INDEX($P$2:$P$401,$V144))</f>
        <v/>
      </c>
      <c r="D144" s="70">
        <f>IF($V144="","",INDEX($Q$2:$Q$401,$V144))</f>
        <v/>
      </c>
      <c r="E144" s="4">
        <f>IF($V144="","",IF(INDEX($S$2:$S$401,$V144)&lt;&gt;"",INDEX($S$2:$S$401,$V144),IF(INDEX($R$2:$R$401,$V144)&lt;$B$2,"Vencida",IF(INDEX($R$2:$R$401,$V144)=$B$2,"Hoy","Programada"))))</f>
        <v/>
      </c>
      <c r="P144" s="26" t="n">
        <v>15</v>
      </c>
      <c r="Q144" s="26" t="n">
        <v>3</v>
      </c>
      <c r="R144" s="26">
        <f>INDEX(Progreso!$AZ$2:$BI$41,$P144,$Q144)</f>
        <v/>
      </c>
      <c r="S144" s="18">
        <f>IF(INDEX(Progreso!$AB$2:$AK$41,$P144,$Q144)=0,"",INDEX(Progreso!$AB$2:$AK$41,$P144,$Q144))</f>
        <v/>
      </c>
      <c r="T144" s="26">
        <f>IF($R144=0,"",COUNTIFS($R$2:$R$401,"&gt;0",$R$2:$R$401,"&lt;"&amp;$R144)+COUNTIFS($R$2:R144,"="&amp;$R144))</f>
        <v/>
      </c>
      <c r="V144" s="26">
        <f>IFERROR(MATCH(ROW()-ROW($V$12),$T$2:$T$401,0),"")</f>
        <v/>
      </c>
    </row>
    <row r="145" ht="22.5" customHeight="1">
      <c r="A145" s="78">
        <f>IF($V145="","",INDEX($R$2:$R$401,$V145))</f>
        <v/>
      </c>
      <c r="B145" s="2">
        <f>IF($V145="","",INDEX(DIAS_SEMANA,WEEKDAY(INDEX($R$2:$R$401,$V145),2)))</f>
        <v/>
      </c>
      <c r="C145" s="2">
        <f>IF($V145="","","Tema "&amp;INDEX($P$2:$P$401,$V145))</f>
        <v/>
      </c>
      <c r="D145" s="69">
        <f>IF($V145="","",INDEX($Q$2:$Q$401,$V145))</f>
        <v/>
      </c>
      <c r="E145" s="2">
        <f>IF($V145="","",IF(INDEX($S$2:$S$401,$V145)&lt;&gt;"",INDEX($S$2:$S$401,$V145),IF(INDEX($R$2:$R$401,$V145)&lt;$B$2,"Vencida",IF(INDEX($R$2:$R$401,$V145)=$B$2,"Hoy","Programada"))))</f>
        <v/>
      </c>
      <c r="P145" s="26" t="n">
        <v>15</v>
      </c>
      <c r="Q145" s="26" t="n">
        <v>4</v>
      </c>
      <c r="R145" s="26">
        <f>INDEX(Progreso!$AZ$2:$BI$41,$P145,$Q145)</f>
        <v/>
      </c>
      <c r="S145" s="18">
        <f>IF(INDEX(Progreso!$AB$2:$AK$41,$P145,$Q145)=0,"",INDEX(Progreso!$AB$2:$AK$41,$P145,$Q145))</f>
        <v/>
      </c>
      <c r="T145" s="26">
        <f>IF($R145=0,"",COUNTIFS($R$2:$R$401,"&gt;0",$R$2:$R$401,"&lt;"&amp;$R145)+COUNTIFS($R$2:R145,"="&amp;$R145))</f>
        <v/>
      </c>
      <c r="V145" s="26">
        <f>IFERROR(MATCH(ROW()-ROW($V$12),$T$2:$T$401,0),"")</f>
        <v/>
      </c>
    </row>
    <row r="146" ht="22.5" customHeight="1">
      <c r="A146" s="85">
        <f>IF($V146="","",INDEX($R$2:$R$401,$V146))</f>
        <v/>
      </c>
      <c r="B146" s="4">
        <f>IF($V146="","",INDEX(DIAS_SEMANA,WEEKDAY(INDEX($R$2:$R$401,$V146),2)))</f>
        <v/>
      </c>
      <c r="C146" s="4">
        <f>IF($V146="","","Tema "&amp;INDEX($P$2:$P$401,$V146))</f>
        <v/>
      </c>
      <c r="D146" s="70">
        <f>IF($V146="","",INDEX($Q$2:$Q$401,$V146))</f>
        <v/>
      </c>
      <c r="E146" s="4">
        <f>IF($V146="","",IF(INDEX($S$2:$S$401,$V146)&lt;&gt;"",INDEX($S$2:$S$401,$V146),IF(INDEX($R$2:$R$401,$V146)&lt;$B$2,"Vencida",IF(INDEX($R$2:$R$401,$V146)=$B$2,"Hoy","Programada"))))</f>
        <v/>
      </c>
      <c r="P146" s="26" t="n">
        <v>15</v>
      </c>
      <c r="Q146" s="26" t="n">
        <v>5</v>
      </c>
      <c r="R146" s="26">
        <f>INDEX(Progreso!$AZ$2:$BI$41,$P146,$Q146)</f>
        <v/>
      </c>
      <c r="S146" s="18">
        <f>IF(INDEX(Progreso!$AB$2:$AK$41,$P146,$Q146)=0,"",INDEX(Progreso!$AB$2:$AK$41,$P146,$Q146))</f>
        <v/>
      </c>
      <c r="T146" s="26">
        <f>IF($R146=0,"",COUNTIFS($R$2:$R$401,"&gt;0",$R$2:$R$401,"&lt;"&amp;$R146)+COUNTIFS($R$2:R146,"="&amp;$R146))</f>
        <v/>
      </c>
      <c r="V146" s="26">
        <f>IFERROR(MATCH(ROW()-ROW($V$12),$T$2:$T$401,0),"")</f>
        <v/>
      </c>
    </row>
    <row r="147" ht="22.5" customHeight="1">
      <c r="A147" s="78">
        <f>IF($V147="","",INDEX($R$2:$R$401,$V147))</f>
        <v/>
      </c>
      <c r="B147" s="2">
        <f>IF($V147="","",INDEX(DIAS_SEMANA,WEEKDAY(INDEX($R$2:$R$401,$V147),2)))</f>
        <v/>
      </c>
      <c r="C147" s="2">
        <f>IF($V147="","","Tema "&amp;INDEX($P$2:$P$401,$V147))</f>
        <v/>
      </c>
      <c r="D147" s="69">
        <f>IF($V147="","",INDEX($Q$2:$Q$401,$V147))</f>
        <v/>
      </c>
      <c r="E147" s="2">
        <f>IF($V147="","",IF(INDEX($S$2:$S$401,$V147)&lt;&gt;"",INDEX($S$2:$S$401,$V147),IF(INDEX($R$2:$R$401,$V147)&lt;$B$2,"Vencida",IF(INDEX($R$2:$R$401,$V147)=$B$2,"Hoy","Programada"))))</f>
        <v/>
      </c>
      <c r="P147" s="26" t="n">
        <v>15</v>
      </c>
      <c r="Q147" s="26" t="n">
        <v>6</v>
      </c>
      <c r="R147" s="26">
        <f>INDEX(Progreso!$AZ$2:$BI$41,$P147,$Q147)</f>
        <v/>
      </c>
      <c r="S147" s="18">
        <f>IF(INDEX(Progreso!$AB$2:$AK$41,$P147,$Q147)=0,"",INDEX(Progreso!$AB$2:$AK$41,$P147,$Q147))</f>
        <v/>
      </c>
      <c r="T147" s="26">
        <f>IF($R147=0,"",COUNTIFS($R$2:$R$401,"&gt;0",$R$2:$R$401,"&lt;"&amp;$R147)+COUNTIFS($R$2:R147,"="&amp;$R147))</f>
        <v/>
      </c>
      <c r="V147" s="26">
        <f>IFERROR(MATCH(ROW()-ROW($V$12),$T$2:$T$401,0),"")</f>
        <v/>
      </c>
    </row>
    <row r="148" ht="22.5" customHeight="1">
      <c r="A148" s="85">
        <f>IF($V148="","",INDEX($R$2:$R$401,$V148))</f>
        <v/>
      </c>
      <c r="B148" s="4">
        <f>IF($V148="","",INDEX(DIAS_SEMANA,WEEKDAY(INDEX($R$2:$R$401,$V148),2)))</f>
        <v/>
      </c>
      <c r="C148" s="4">
        <f>IF($V148="","","Tema "&amp;INDEX($P$2:$P$401,$V148))</f>
        <v/>
      </c>
      <c r="D148" s="70">
        <f>IF($V148="","",INDEX($Q$2:$Q$401,$V148))</f>
        <v/>
      </c>
      <c r="E148" s="4">
        <f>IF($V148="","",IF(INDEX($S$2:$S$401,$V148)&lt;&gt;"",INDEX($S$2:$S$401,$V148),IF(INDEX($R$2:$R$401,$V148)&lt;$B$2,"Vencida",IF(INDEX($R$2:$R$401,$V148)=$B$2,"Hoy","Programada"))))</f>
        <v/>
      </c>
      <c r="P148" s="26" t="n">
        <v>15</v>
      </c>
      <c r="Q148" s="26" t="n">
        <v>7</v>
      </c>
      <c r="R148" s="26">
        <f>INDEX(Progreso!$AZ$2:$BI$41,$P148,$Q148)</f>
        <v/>
      </c>
      <c r="S148" s="18">
        <f>IF(INDEX(Progreso!$AB$2:$AK$41,$P148,$Q148)=0,"",INDEX(Progreso!$AB$2:$AK$41,$P148,$Q148))</f>
        <v/>
      </c>
      <c r="T148" s="26">
        <f>IF($R148=0,"",COUNTIFS($R$2:$R$401,"&gt;0",$R$2:$R$401,"&lt;"&amp;$R148)+COUNTIFS($R$2:R148,"="&amp;$R148))</f>
        <v/>
      </c>
      <c r="V148" s="26">
        <f>IFERROR(MATCH(ROW()-ROW($V$12),$T$2:$T$401,0),"")</f>
        <v/>
      </c>
    </row>
    <row r="149" ht="22.5" customHeight="1">
      <c r="A149" s="78">
        <f>IF($V149="","",INDEX($R$2:$R$401,$V149))</f>
        <v/>
      </c>
      <c r="B149" s="2">
        <f>IF($V149="","",INDEX(DIAS_SEMANA,WEEKDAY(INDEX($R$2:$R$401,$V149),2)))</f>
        <v/>
      </c>
      <c r="C149" s="2">
        <f>IF($V149="","","Tema "&amp;INDEX($P$2:$P$401,$V149))</f>
        <v/>
      </c>
      <c r="D149" s="69">
        <f>IF($V149="","",INDEX($Q$2:$Q$401,$V149))</f>
        <v/>
      </c>
      <c r="E149" s="2">
        <f>IF($V149="","",IF(INDEX($S$2:$S$401,$V149)&lt;&gt;"",INDEX($S$2:$S$401,$V149),IF(INDEX($R$2:$R$401,$V149)&lt;$B$2,"Vencida",IF(INDEX($R$2:$R$401,$V149)=$B$2,"Hoy","Programada"))))</f>
        <v/>
      </c>
      <c r="P149" s="26" t="n">
        <v>15</v>
      </c>
      <c r="Q149" s="26" t="n">
        <v>8</v>
      </c>
      <c r="R149" s="26">
        <f>INDEX(Progreso!$AZ$2:$BI$41,$P149,$Q149)</f>
        <v/>
      </c>
      <c r="S149" s="18">
        <f>IF(INDEX(Progreso!$AB$2:$AK$41,$P149,$Q149)=0,"",INDEX(Progreso!$AB$2:$AK$41,$P149,$Q149))</f>
        <v/>
      </c>
      <c r="T149" s="26">
        <f>IF($R149=0,"",COUNTIFS($R$2:$R$401,"&gt;0",$R$2:$R$401,"&lt;"&amp;$R149)+COUNTIFS($R$2:R149,"="&amp;$R149))</f>
        <v/>
      </c>
      <c r="V149" s="26">
        <f>IFERROR(MATCH(ROW()-ROW($V$12),$T$2:$T$401,0),"")</f>
        <v/>
      </c>
    </row>
    <row r="150" ht="22.5" customHeight="1">
      <c r="A150" s="85">
        <f>IF($V150="","",INDEX($R$2:$R$401,$V150))</f>
        <v/>
      </c>
      <c r="B150" s="4">
        <f>IF($V150="","",INDEX(DIAS_SEMANA,WEEKDAY(INDEX($R$2:$R$401,$V150),2)))</f>
        <v/>
      </c>
      <c r="C150" s="4">
        <f>IF($V150="","","Tema "&amp;INDEX($P$2:$P$401,$V150))</f>
        <v/>
      </c>
      <c r="D150" s="70">
        <f>IF($V150="","",INDEX($Q$2:$Q$401,$V150))</f>
        <v/>
      </c>
      <c r="E150" s="4">
        <f>IF($V150="","",IF(INDEX($S$2:$S$401,$V150)&lt;&gt;"",INDEX($S$2:$S$401,$V150),IF(INDEX($R$2:$R$401,$V150)&lt;$B$2,"Vencida",IF(INDEX($R$2:$R$401,$V150)=$B$2,"Hoy","Programada"))))</f>
        <v/>
      </c>
      <c r="P150" s="26" t="n">
        <v>15</v>
      </c>
      <c r="Q150" s="26" t="n">
        <v>9</v>
      </c>
      <c r="R150" s="26">
        <f>INDEX(Progreso!$AZ$2:$BI$41,$P150,$Q150)</f>
        <v/>
      </c>
      <c r="S150" s="18">
        <f>IF(INDEX(Progreso!$AB$2:$AK$41,$P150,$Q150)=0,"",INDEX(Progreso!$AB$2:$AK$41,$P150,$Q150))</f>
        <v/>
      </c>
      <c r="T150" s="26">
        <f>IF($R150=0,"",COUNTIFS($R$2:$R$401,"&gt;0",$R$2:$R$401,"&lt;"&amp;$R150)+COUNTIFS($R$2:R150,"="&amp;$R150))</f>
        <v/>
      </c>
      <c r="V150" s="26">
        <f>IFERROR(MATCH(ROW()-ROW($V$12),$T$2:$T$401,0),"")</f>
        <v/>
      </c>
    </row>
    <row r="151" ht="22.5" customHeight="1">
      <c r="A151" s="78">
        <f>IF($V151="","",INDEX($R$2:$R$401,$V151))</f>
        <v/>
      </c>
      <c r="B151" s="2">
        <f>IF($V151="","",INDEX(DIAS_SEMANA,WEEKDAY(INDEX($R$2:$R$401,$V151),2)))</f>
        <v/>
      </c>
      <c r="C151" s="2">
        <f>IF($V151="","","Tema "&amp;INDEX($P$2:$P$401,$V151))</f>
        <v/>
      </c>
      <c r="D151" s="69">
        <f>IF($V151="","",INDEX($Q$2:$Q$401,$V151))</f>
        <v/>
      </c>
      <c r="E151" s="2">
        <f>IF($V151="","",IF(INDEX($S$2:$S$401,$V151)&lt;&gt;"",INDEX($S$2:$S$401,$V151),IF(INDEX($R$2:$R$401,$V151)&lt;$B$2,"Vencida",IF(INDEX($R$2:$R$401,$V151)=$B$2,"Hoy","Programada"))))</f>
        <v/>
      </c>
      <c r="P151" s="26" t="n">
        <v>15</v>
      </c>
      <c r="Q151" s="26" t="n">
        <v>10</v>
      </c>
      <c r="R151" s="26">
        <f>INDEX(Progreso!$AZ$2:$BI$41,$P151,$Q151)</f>
        <v/>
      </c>
      <c r="S151" s="18">
        <f>IF(INDEX(Progreso!$AB$2:$AK$41,$P151,$Q151)=0,"",INDEX(Progreso!$AB$2:$AK$41,$P151,$Q151))</f>
        <v/>
      </c>
      <c r="T151" s="26">
        <f>IF($R151=0,"",COUNTIFS($R$2:$R$401,"&gt;0",$R$2:$R$401,"&lt;"&amp;$R151)+COUNTIFS($R$2:R151,"="&amp;$R151))</f>
        <v/>
      </c>
      <c r="V151" s="26">
        <f>IFERROR(MATCH(ROW()-ROW($V$12),$T$2:$T$401,0),"")</f>
        <v/>
      </c>
    </row>
    <row r="152" ht="22.5" customHeight="1">
      <c r="A152" s="85">
        <f>IF($V152="","",INDEX($R$2:$R$401,$V152))</f>
        <v/>
      </c>
      <c r="B152" s="4">
        <f>IF($V152="","",INDEX(DIAS_SEMANA,WEEKDAY(INDEX($R$2:$R$401,$V152),2)))</f>
        <v/>
      </c>
      <c r="C152" s="4">
        <f>IF($V152="","","Tema "&amp;INDEX($P$2:$P$401,$V152))</f>
        <v/>
      </c>
      <c r="D152" s="70">
        <f>IF($V152="","",INDEX($Q$2:$Q$401,$V152))</f>
        <v/>
      </c>
      <c r="E152" s="4">
        <f>IF($V152="","",IF(INDEX($S$2:$S$401,$V152)&lt;&gt;"",INDEX($S$2:$S$401,$V152),IF(INDEX($R$2:$R$401,$V152)&lt;$B$2,"Vencida",IF(INDEX($R$2:$R$401,$V152)=$B$2,"Hoy","Programada"))))</f>
        <v/>
      </c>
      <c r="P152" s="26" t="n">
        <v>16</v>
      </c>
      <c r="Q152" s="26" t="n">
        <v>1</v>
      </c>
      <c r="R152" s="26">
        <f>INDEX(Progreso!$AZ$2:$BI$41,$P152,$Q152)</f>
        <v/>
      </c>
      <c r="S152" s="18">
        <f>IF(INDEX(Progreso!$AB$2:$AK$41,$P152,$Q152)=0,"",INDEX(Progreso!$AB$2:$AK$41,$P152,$Q152))</f>
        <v/>
      </c>
      <c r="T152" s="26">
        <f>IF($R152=0,"",COUNTIFS($R$2:$R$401,"&gt;0",$R$2:$R$401,"&lt;"&amp;$R152)+COUNTIFS($R$2:R152,"="&amp;$R152))</f>
        <v/>
      </c>
      <c r="V152" s="26">
        <f>IFERROR(MATCH(ROW()-ROW($V$12),$T$2:$T$401,0),"")</f>
        <v/>
      </c>
    </row>
    <row r="153" ht="22.5" customHeight="1">
      <c r="A153" s="78">
        <f>IF($V153="","",INDEX($R$2:$R$401,$V153))</f>
        <v/>
      </c>
      <c r="B153" s="2">
        <f>IF($V153="","",INDEX(DIAS_SEMANA,WEEKDAY(INDEX($R$2:$R$401,$V153),2)))</f>
        <v/>
      </c>
      <c r="C153" s="2">
        <f>IF($V153="","","Tema "&amp;INDEX($P$2:$P$401,$V153))</f>
        <v/>
      </c>
      <c r="D153" s="69">
        <f>IF($V153="","",INDEX($Q$2:$Q$401,$V153))</f>
        <v/>
      </c>
      <c r="E153" s="2">
        <f>IF($V153="","",IF(INDEX($S$2:$S$401,$V153)&lt;&gt;"",INDEX($S$2:$S$401,$V153),IF(INDEX($R$2:$R$401,$V153)&lt;$B$2,"Vencida",IF(INDEX($R$2:$R$401,$V153)=$B$2,"Hoy","Programada"))))</f>
        <v/>
      </c>
      <c r="P153" s="26" t="n">
        <v>16</v>
      </c>
      <c r="Q153" s="26" t="n">
        <v>2</v>
      </c>
      <c r="R153" s="26">
        <f>INDEX(Progreso!$AZ$2:$BI$41,$P153,$Q153)</f>
        <v/>
      </c>
      <c r="S153" s="18">
        <f>IF(INDEX(Progreso!$AB$2:$AK$41,$P153,$Q153)=0,"",INDEX(Progreso!$AB$2:$AK$41,$P153,$Q153))</f>
        <v/>
      </c>
      <c r="T153" s="26">
        <f>IF($R153=0,"",COUNTIFS($R$2:$R$401,"&gt;0",$R$2:$R$401,"&lt;"&amp;$R153)+COUNTIFS($R$2:R153,"="&amp;$R153))</f>
        <v/>
      </c>
      <c r="V153" s="26">
        <f>IFERROR(MATCH(ROW()-ROW($V$12),$T$2:$T$401,0),"")</f>
        <v/>
      </c>
    </row>
    <row r="154" ht="22.5" customHeight="1">
      <c r="A154" s="85">
        <f>IF($V154="","",INDEX($R$2:$R$401,$V154))</f>
        <v/>
      </c>
      <c r="B154" s="4">
        <f>IF($V154="","",INDEX(DIAS_SEMANA,WEEKDAY(INDEX($R$2:$R$401,$V154),2)))</f>
        <v/>
      </c>
      <c r="C154" s="4">
        <f>IF($V154="","","Tema "&amp;INDEX($P$2:$P$401,$V154))</f>
        <v/>
      </c>
      <c r="D154" s="70">
        <f>IF($V154="","",INDEX($Q$2:$Q$401,$V154))</f>
        <v/>
      </c>
      <c r="E154" s="4">
        <f>IF($V154="","",IF(INDEX($S$2:$S$401,$V154)&lt;&gt;"",INDEX($S$2:$S$401,$V154),IF(INDEX($R$2:$R$401,$V154)&lt;$B$2,"Vencida",IF(INDEX($R$2:$R$401,$V154)=$B$2,"Hoy","Programada"))))</f>
        <v/>
      </c>
      <c r="P154" s="26" t="n">
        <v>16</v>
      </c>
      <c r="Q154" s="26" t="n">
        <v>3</v>
      </c>
      <c r="R154" s="26">
        <f>INDEX(Progreso!$AZ$2:$BI$41,$P154,$Q154)</f>
        <v/>
      </c>
      <c r="S154" s="18">
        <f>IF(INDEX(Progreso!$AB$2:$AK$41,$P154,$Q154)=0,"",INDEX(Progreso!$AB$2:$AK$41,$P154,$Q154))</f>
        <v/>
      </c>
      <c r="T154" s="26">
        <f>IF($R154=0,"",COUNTIFS($R$2:$R$401,"&gt;0",$R$2:$R$401,"&lt;"&amp;$R154)+COUNTIFS($R$2:R154,"="&amp;$R154))</f>
        <v/>
      </c>
      <c r="V154" s="26">
        <f>IFERROR(MATCH(ROW()-ROW($V$12),$T$2:$T$401,0),"")</f>
        <v/>
      </c>
    </row>
    <row r="155" ht="22.5" customHeight="1">
      <c r="A155" s="78">
        <f>IF($V155="","",INDEX($R$2:$R$401,$V155))</f>
        <v/>
      </c>
      <c r="B155" s="2">
        <f>IF($V155="","",INDEX(DIAS_SEMANA,WEEKDAY(INDEX($R$2:$R$401,$V155),2)))</f>
        <v/>
      </c>
      <c r="C155" s="2">
        <f>IF($V155="","","Tema "&amp;INDEX($P$2:$P$401,$V155))</f>
        <v/>
      </c>
      <c r="D155" s="69">
        <f>IF($V155="","",INDEX($Q$2:$Q$401,$V155))</f>
        <v/>
      </c>
      <c r="E155" s="2">
        <f>IF($V155="","",IF(INDEX($S$2:$S$401,$V155)&lt;&gt;"",INDEX($S$2:$S$401,$V155),IF(INDEX($R$2:$R$401,$V155)&lt;$B$2,"Vencida",IF(INDEX($R$2:$R$401,$V155)=$B$2,"Hoy","Programada"))))</f>
        <v/>
      </c>
      <c r="P155" s="26" t="n">
        <v>16</v>
      </c>
      <c r="Q155" s="26" t="n">
        <v>4</v>
      </c>
      <c r="R155" s="26">
        <f>INDEX(Progreso!$AZ$2:$BI$41,$P155,$Q155)</f>
        <v/>
      </c>
      <c r="S155" s="18">
        <f>IF(INDEX(Progreso!$AB$2:$AK$41,$P155,$Q155)=0,"",INDEX(Progreso!$AB$2:$AK$41,$P155,$Q155))</f>
        <v/>
      </c>
      <c r="T155" s="26">
        <f>IF($R155=0,"",COUNTIFS($R$2:$R$401,"&gt;0",$R$2:$R$401,"&lt;"&amp;$R155)+COUNTIFS($R$2:R155,"="&amp;$R155))</f>
        <v/>
      </c>
      <c r="V155" s="26">
        <f>IFERROR(MATCH(ROW()-ROW($V$12),$T$2:$T$401,0),"")</f>
        <v/>
      </c>
    </row>
    <row r="156" ht="22.5" customHeight="1">
      <c r="A156" s="85">
        <f>IF($V156="","",INDEX($R$2:$R$401,$V156))</f>
        <v/>
      </c>
      <c r="B156" s="4">
        <f>IF($V156="","",INDEX(DIAS_SEMANA,WEEKDAY(INDEX($R$2:$R$401,$V156),2)))</f>
        <v/>
      </c>
      <c r="C156" s="4">
        <f>IF($V156="","","Tema "&amp;INDEX($P$2:$P$401,$V156))</f>
        <v/>
      </c>
      <c r="D156" s="70">
        <f>IF($V156="","",INDEX($Q$2:$Q$401,$V156))</f>
        <v/>
      </c>
      <c r="E156" s="4">
        <f>IF($V156="","",IF(INDEX($S$2:$S$401,$V156)&lt;&gt;"",INDEX($S$2:$S$401,$V156),IF(INDEX($R$2:$R$401,$V156)&lt;$B$2,"Vencida",IF(INDEX($R$2:$R$401,$V156)=$B$2,"Hoy","Programada"))))</f>
        <v/>
      </c>
      <c r="P156" s="26" t="n">
        <v>16</v>
      </c>
      <c r="Q156" s="26" t="n">
        <v>5</v>
      </c>
      <c r="R156" s="26">
        <f>INDEX(Progreso!$AZ$2:$BI$41,$P156,$Q156)</f>
        <v/>
      </c>
      <c r="S156" s="18">
        <f>IF(INDEX(Progreso!$AB$2:$AK$41,$P156,$Q156)=0,"",INDEX(Progreso!$AB$2:$AK$41,$P156,$Q156))</f>
        <v/>
      </c>
      <c r="T156" s="26">
        <f>IF($R156=0,"",COUNTIFS($R$2:$R$401,"&gt;0",$R$2:$R$401,"&lt;"&amp;$R156)+COUNTIFS($R$2:R156,"="&amp;$R156))</f>
        <v/>
      </c>
      <c r="V156" s="26">
        <f>IFERROR(MATCH(ROW()-ROW($V$12),$T$2:$T$401,0),"")</f>
        <v/>
      </c>
    </row>
    <row r="157" ht="22.5" customHeight="1">
      <c r="A157" s="78">
        <f>IF($V157="","",INDEX($R$2:$R$401,$V157))</f>
        <v/>
      </c>
      <c r="B157" s="2">
        <f>IF($V157="","",INDEX(DIAS_SEMANA,WEEKDAY(INDEX($R$2:$R$401,$V157),2)))</f>
        <v/>
      </c>
      <c r="C157" s="2">
        <f>IF($V157="","","Tema "&amp;INDEX($P$2:$P$401,$V157))</f>
        <v/>
      </c>
      <c r="D157" s="69">
        <f>IF($V157="","",INDEX($Q$2:$Q$401,$V157))</f>
        <v/>
      </c>
      <c r="E157" s="2">
        <f>IF($V157="","",IF(INDEX($S$2:$S$401,$V157)&lt;&gt;"",INDEX($S$2:$S$401,$V157),IF(INDEX($R$2:$R$401,$V157)&lt;$B$2,"Vencida",IF(INDEX($R$2:$R$401,$V157)=$B$2,"Hoy","Programada"))))</f>
        <v/>
      </c>
      <c r="P157" s="26" t="n">
        <v>16</v>
      </c>
      <c r="Q157" s="26" t="n">
        <v>6</v>
      </c>
      <c r="R157" s="26">
        <f>INDEX(Progreso!$AZ$2:$BI$41,$P157,$Q157)</f>
        <v/>
      </c>
      <c r="S157" s="18">
        <f>IF(INDEX(Progreso!$AB$2:$AK$41,$P157,$Q157)=0,"",INDEX(Progreso!$AB$2:$AK$41,$P157,$Q157))</f>
        <v/>
      </c>
      <c r="T157" s="26">
        <f>IF($R157=0,"",COUNTIFS($R$2:$R$401,"&gt;0",$R$2:$R$401,"&lt;"&amp;$R157)+COUNTIFS($R$2:R157,"="&amp;$R157))</f>
        <v/>
      </c>
      <c r="V157" s="26">
        <f>IFERROR(MATCH(ROW()-ROW($V$12),$T$2:$T$401,0),"")</f>
        <v/>
      </c>
    </row>
    <row r="158" ht="22.5" customHeight="1">
      <c r="A158" s="85">
        <f>IF($V158="","",INDEX($R$2:$R$401,$V158))</f>
        <v/>
      </c>
      <c r="B158" s="4">
        <f>IF($V158="","",INDEX(DIAS_SEMANA,WEEKDAY(INDEX($R$2:$R$401,$V158),2)))</f>
        <v/>
      </c>
      <c r="C158" s="4">
        <f>IF($V158="","","Tema "&amp;INDEX($P$2:$P$401,$V158))</f>
        <v/>
      </c>
      <c r="D158" s="70">
        <f>IF($V158="","",INDEX($Q$2:$Q$401,$V158))</f>
        <v/>
      </c>
      <c r="E158" s="4">
        <f>IF($V158="","",IF(INDEX($S$2:$S$401,$V158)&lt;&gt;"",INDEX($S$2:$S$401,$V158),IF(INDEX($R$2:$R$401,$V158)&lt;$B$2,"Vencida",IF(INDEX($R$2:$R$401,$V158)=$B$2,"Hoy","Programada"))))</f>
        <v/>
      </c>
      <c r="P158" s="26" t="n">
        <v>16</v>
      </c>
      <c r="Q158" s="26" t="n">
        <v>7</v>
      </c>
      <c r="R158" s="26">
        <f>INDEX(Progreso!$AZ$2:$BI$41,$P158,$Q158)</f>
        <v/>
      </c>
      <c r="S158" s="18">
        <f>IF(INDEX(Progreso!$AB$2:$AK$41,$P158,$Q158)=0,"",INDEX(Progreso!$AB$2:$AK$41,$P158,$Q158))</f>
        <v/>
      </c>
      <c r="T158" s="26">
        <f>IF($R158=0,"",COUNTIFS($R$2:$R$401,"&gt;0",$R$2:$R$401,"&lt;"&amp;$R158)+COUNTIFS($R$2:R158,"="&amp;$R158))</f>
        <v/>
      </c>
      <c r="V158" s="26">
        <f>IFERROR(MATCH(ROW()-ROW($V$12),$T$2:$T$401,0),"")</f>
        <v/>
      </c>
    </row>
    <row r="159" ht="22.5" customHeight="1">
      <c r="A159" s="78">
        <f>IF($V159="","",INDEX($R$2:$R$401,$V159))</f>
        <v/>
      </c>
      <c r="B159" s="2">
        <f>IF($V159="","",INDEX(DIAS_SEMANA,WEEKDAY(INDEX($R$2:$R$401,$V159),2)))</f>
        <v/>
      </c>
      <c r="C159" s="2">
        <f>IF($V159="","","Tema "&amp;INDEX($P$2:$P$401,$V159))</f>
        <v/>
      </c>
      <c r="D159" s="69">
        <f>IF($V159="","",INDEX($Q$2:$Q$401,$V159))</f>
        <v/>
      </c>
      <c r="E159" s="2">
        <f>IF($V159="","",IF(INDEX($S$2:$S$401,$V159)&lt;&gt;"",INDEX($S$2:$S$401,$V159),IF(INDEX($R$2:$R$401,$V159)&lt;$B$2,"Vencida",IF(INDEX($R$2:$R$401,$V159)=$B$2,"Hoy","Programada"))))</f>
        <v/>
      </c>
      <c r="P159" s="26" t="n">
        <v>16</v>
      </c>
      <c r="Q159" s="26" t="n">
        <v>8</v>
      </c>
      <c r="R159" s="26">
        <f>INDEX(Progreso!$AZ$2:$BI$41,$P159,$Q159)</f>
        <v/>
      </c>
      <c r="S159" s="18">
        <f>IF(INDEX(Progreso!$AB$2:$AK$41,$P159,$Q159)=0,"",INDEX(Progreso!$AB$2:$AK$41,$P159,$Q159))</f>
        <v/>
      </c>
      <c r="T159" s="26">
        <f>IF($R159=0,"",COUNTIFS($R$2:$R$401,"&gt;0",$R$2:$R$401,"&lt;"&amp;$R159)+COUNTIFS($R$2:R159,"="&amp;$R159))</f>
        <v/>
      </c>
      <c r="V159" s="26">
        <f>IFERROR(MATCH(ROW()-ROW($V$12),$T$2:$T$401,0),"")</f>
        <v/>
      </c>
    </row>
    <row r="160" ht="22.5" customHeight="1">
      <c r="A160" s="85">
        <f>IF($V160="","",INDEX($R$2:$R$401,$V160))</f>
        <v/>
      </c>
      <c r="B160" s="4">
        <f>IF($V160="","",INDEX(DIAS_SEMANA,WEEKDAY(INDEX($R$2:$R$401,$V160),2)))</f>
        <v/>
      </c>
      <c r="C160" s="4">
        <f>IF($V160="","","Tema "&amp;INDEX($P$2:$P$401,$V160))</f>
        <v/>
      </c>
      <c r="D160" s="70">
        <f>IF($V160="","",INDEX($Q$2:$Q$401,$V160))</f>
        <v/>
      </c>
      <c r="E160" s="4">
        <f>IF($V160="","",IF(INDEX($S$2:$S$401,$V160)&lt;&gt;"",INDEX($S$2:$S$401,$V160),IF(INDEX($R$2:$R$401,$V160)&lt;$B$2,"Vencida",IF(INDEX($R$2:$R$401,$V160)=$B$2,"Hoy","Programada"))))</f>
        <v/>
      </c>
      <c r="P160" s="26" t="n">
        <v>16</v>
      </c>
      <c r="Q160" s="26" t="n">
        <v>9</v>
      </c>
      <c r="R160" s="26">
        <f>INDEX(Progreso!$AZ$2:$BI$41,$P160,$Q160)</f>
        <v/>
      </c>
      <c r="S160" s="18">
        <f>IF(INDEX(Progreso!$AB$2:$AK$41,$P160,$Q160)=0,"",INDEX(Progreso!$AB$2:$AK$41,$P160,$Q160))</f>
        <v/>
      </c>
      <c r="T160" s="26">
        <f>IF($R160=0,"",COUNTIFS($R$2:$R$401,"&gt;0",$R$2:$R$401,"&lt;"&amp;$R160)+COUNTIFS($R$2:R160,"="&amp;$R160))</f>
        <v/>
      </c>
      <c r="V160" s="26">
        <f>IFERROR(MATCH(ROW()-ROW($V$12),$T$2:$T$401,0),"")</f>
        <v/>
      </c>
    </row>
    <row r="161" ht="22.5" customHeight="1">
      <c r="A161" s="78">
        <f>IF($V161="","",INDEX($R$2:$R$401,$V161))</f>
        <v/>
      </c>
      <c r="B161" s="2">
        <f>IF($V161="","",INDEX(DIAS_SEMANA,WEEKDAY(INDEX($R$2:$R$401,$V161),2)))</f>
        <v/>
      </c>
      <c r="C161" s="2">
        <f>IF($V161="","","Tema "&amp;INDEX($P$2:$P$401,$V161))</f>
        <v/>
      </c>
      <c r="D161" s="69">
        <f>IF($V161="","",INDEX($Q$2:$Q$401,$V161))</f>
        <v/>
      </c>
      <c r="E161" s="2">
        <f>IF($V161="","",IF(INDEX($S$2:$S$401,$V161)&lt;&gt;"",INDEX($S$2:$S$401,$V161),IF(INDEX($R$2:$R$401,$V161)&lt;$B$2,"Vencida",IF(INDEX($R$2:$R$401,$V161)=$B$2,"Hoy","Programada"))))</f>
        <v/>
      </c>
      <c r="P161" s="26" t="n">
        <v>16</v>
      </c>
      <c r="Q161" s="26" t="n">
        <v>10</v>
      </c>
      <c r="R161" s="26">
        <f>INDEX(Progreso!$AZ$2:$BI$41,$P161,$Q161)</f>
        <v/>
      </c>
      <c r="S161" s="18">
        <f>IF(INDEX(Progreso!$AB$2:$AK$41,$P161,$Q161)=0,"",INDEX(Progreso!$AB$2:$AK$41,$P161,$Q161))</f>
        <v/>
      </c>
      <c r="T161" s="26">
        <f>IF($R161=0,"",COUNTIFS($R$2:$R$401,"&gt;0",$R$2:$R$401,"&lt;"&amp;$R161)+COUNTIFS($R$2:R161,"="&amp;$R161))</f>
        <v/>
      </c>
      <c r="V161" s="26">
        <f>IFERROR(MATCH(ROW()-ROW($V$12),$T$2:$T$401,0),"")</f>
        <v/>
      </c>
    </row>
    <row r="162" ht="22.5" customHeight="1">
      <c r="A162" s="85">
        <f>IF($V162="","",INDEX($R$2:$R$401,$V162))</f>
        <v/>
      </c>
      <c r="B162" s="4">
        <f>IF($V162="","",INDEX(DIAS_SEMANA,WEEKDAY(INDEX($R$2:$R$401,$V162),2)))</f>
        <v/>
      </c>
      <c r="C162" s="4">
        <f>IF($V162="","","Tema "&amp;INDEX($P$2:$P$401,$V162))</f>
        <v/>
      </c>
      <c r="D162" s="70">
        <f>IF($V162="","",INDEX($Q$2:$Q$401,$V162))</f>
        <v/>
      </c>
      <c r="E162" s="4">
        <f>IF($V162="","",IF(INDEX($S$2:$S$401,$V162)&lt;&gt;"",INDEX($S$2:$S$401,$V162),IF(INDEX($R$2:$R$401,$V162)&lt;$B$2,"Vencida",IF(INDEX($R$2:$R$401,$V162)=$B$2,"Hoy","Programada"))))</f>
        <v/>
      </c>
      <c r="P162" s="26" t="n">
        <v>17</v>
      </c>
      <c r="Q162" s="26" t="n">
        <v>1</v>
      </c>
      <c r="R162" s="26">
        <f>INDEX(Progreso!$AZ$2:$BI$41,$P162,$Q162)</f>
        <v/>
      </c>
      <c r="S162" s="18">
        <f>IF(INDEX(Progreso!$AB$2:$AK$41,$P162,$Q162)=0,"",INDEX(Progreso!$AB$2:$AK$41,$P162,$Q162))</f>
        <v/>
      </c>
      <c r="T162" s="26">
        <f>IF($R162=0,"",COUNTIFS($R$2:$R$401,"&gt;0",$R$2:$R$401,"&lt;"&amp;$R162)+COUNTIFS($R$2:R162,"="&amp;$R162))</f>
        <v/>
      </c>
      <c r="V162" s="26">
        <f>IFERROR(MATCH(ROW()-ROW($V$12),$T$2:$T$401,0),"")</f>
        <v/>
      </c>
    </row>
    <row r="163" ht="22.5" customHeight="1">
      <c r="A163" s="78">
        <f>IF($V163="","",INDEX($R$2:$R$401,$V163))</f>
        <v/>
      </c>
      <c r="B163" s="2">
        <f>IF($V163="","",INDEX(DIAS_SEMANA,WEEKDAY(INDEX($R$2:$R$401,$V163),2)))</f>
        <v/>
      </c>
      <c r="C163" s="2">
        <f>IF($V163="","","Tema "&amp;INDEX($P$2:$P$401,$V163))</f>
        <v/>
      </c>
      <c r="D163" s="69">
        <f>IF($V163="","",INDEX($Q$2:$Q$401,$V163))</f>
        <v/>
      </c>
      <c r="E163" s="2">
        <f>IF($V163="","",IF(INDEX($S$2:$S$401,$V163)&lt;&gt;"",INDEX($S$2:$S$401,$V163),IF(INDEX($R$2:$R$401,$V163)&lt;$B$2,"Vencida",IF(INDEX($R$2:$R$401,$V163)=$B$2,"Hoy","Programada"))))</f>
        <v/>
      </c>
      <c r="P163" s="26" t="n">
        <v>17</v>
      </c>
      <c r="Q163" s="26" t="n">
        <v>2</v>
      </c>
      <c r="R163" s="26">
        <f>INDEX(Progreso!$AZ$2:$BI$41,$P163,$Q163)</f>
        <v/>
      </c>
      <c r="S163" s="18">
        <f>IF(INDEX(Progreso!$AB$2:$AK$41,$P163,$Q163)=0,"",INDEX(Progreso!$AB$2:$AK$41,$P163,$Q163))</f>
        <v/>
      </c>
      <c r="T163" s="26">
        <f>IF($R163=0,"",COUNTIFS($R$2:$R$401,"&gt;0",$R$2:$R$401,"&lt;"&amp;$R163)+COUNTIFS($R$2:R163,"="&amp;$R163))</f>
        <v/>
      </c>
      <c r="V163" s="26">
        <f>IFERROR(MATCH(ROW()-ROW($V$12),$T$2:$T$401,0),"")</f>
        <v/>
      </c>
    </row>
    <row r="164" ht="22.5" customHeight="1">
      <c r="A164" s="85">
        <f>IF($V164="","",INDEX($R$2:$R$401,$V164))</f>
        <v/>
      </c>
      <c r="B164" s="4">
        <f>IF($V164="","",INDEX(DIAS_SEMANA,WEEKDAY(INDEX($R$2:$R$401,$V164),2)))</f>
        <v/>
      </c>
      <c r="C164" s="4">
        <f>IF($V164="","","Tema "&amp;INDEX($P$2:$P$401,$V164))</f>
        <v/>
      </c>
      <c r="D164" s="70">
        <f>IF($V164="","",INDEX($Q$2:$Q$401,$V164))</f>
        <v/>
      </c>
      <c r="E164" s="4">
        <f>IF($V164="","",IF(INDEX($S$2:$S$401,$V164)&lt;&gt;"",INDEX($S$2:$S$401,$V164),IF(INDEX($R$2:$R$401,$V164)&lt;$B$2,"Vencida",IF(INDEX($R$2:$R$401,$V164)=$B$2,"Hoy","Programada"))))</f>
        <v/>
      </c>
      <c r="P164" s="26" t="n">
        <v>17</v>
      </c>
      <c r="Q164" s="26" t="n">
        <v>3</v>
      </c>
      <c r="R164" s="26">
        <f>INDEX(Progreso!$AZ$2:$BI$41,$P164,$Q164)</f>
        <v/>
      </c>
      <c r="S164" s="18">
        <f>IF(INDEX(Progreso!$AB$2:$AK$41,$P164,$Q164)=0,"",INDEX(Progreso!$AB$2:$AK$41,$P164,$Q164))</f>
        <v/>
      </c>
      <c r="T164" s="26">
        <f>IF($R164=0,"",COUNTIFS($R$2:$R$401,"&gt;0",$R$2:$R$401,"&lt;"&amp;$R164)+COUNTIFS($R$2:R164,"="&amp;$R164))</f>
        <v/>
      </c>
      <c r="V164" s="26">
        <f>IFERROR(MATCH(ROW()-ROW($V$12),$T$2:$T$401,0),"")</f>
        <v/>
      </c>
    </row>
    <row r="165" ht="22.5" customHeight="1">
      <c r="A165" s="78">
        <f>IF($V165="","",INDEX($R$2:$R$401,$V165))</f>
        <v/>
      </c>
      <c r="B165" s="2">
        <f>IF($V165="","",INDEX(DIAS_SEMANA,WEEKDAY(INDEX($R$2:$R$401,$V165),2)))</f>
        <v/>
      </c>
      <c r="C165" s="2">
        <f>IF($V165="","","Tema "&amp;INDEX($P$2:$P$401,$V165))</f>
        <v/>
      </c>
      <c r="D165" s="69">
        <f>IF($V165="","",INDEX($Q$2:$Q$401,$V165))</f>
        <v/>
      </c>
      <c r="E165" s="2">
        <f>IF($V165="","",IF(INDEX($S$2:$S$401,$V165)&lt;&gt;"",INDEX($S$2:$S$401,$V165),IF(INDEX($R$2:$R$401,$V165)&lt;$B$2,"Vencida",IF(INDEX($R$2:$R$401,$V165)=$B$2,"Hoy","Programada"))))</f>
        <v/>
      </c>
      <c r="P165" s="26" t="n">
        <v>17</v>
      </c>
      <c r="Q165" s="26" t="n">
        <v>4</v>
      </c>
      <c r="R165" s="26">
        <f>INDEX(Progreso!$AZ$2:$BI$41,$P165,$Q165)</f>
        <v/>
      </c>
      <c r="S165" s="18">
        <f>IF(INDEX(Progreso!$AB$2:$AK$41,$P165,$Q165)=0,"",INDEX(Progreso!$AB$2:$AK$41,$P165,$Q165))</f>
        <v/>
      </c>
      <c r="T165" s="26">
        <f>IF($R165=0,"",COUNTIFS($R$2:$R$401,"&gt;0",$R$2:$R$401,"&lt;"&amp;$R165)+COUNTIFS($R$2:R165,"="&amp;$R165))</f>
        <v/>
      </c>
      <c r="V165" s="26">
        <f>IFERROR(MATCH(ROW()-ROW($V$12),$T$2:$T$401,0),"")</f>
        <v/>
      </c>
    </row>
    <row r="166" ht="22.5" customHeight="1">
      <c r="A166" s="85">
        <f>IF($V166="","",INDEX($R$2:$R$401,$V166))</f>
        <v/>
      </c>
      <c r="B166" s="4">
        <f>IF($V166="","",INDEX(DIAS_SEMANA,WEEKDAY(INDEX($R$2:$R$401,$V166),2)))</f>
        <v/>
      </c>
      <c r="C166" s="4">
        <f>IF($V166="","","Tema "&amp;INDEX($P$2:$P$401,$V166))</f>
        <v/>
      </c>
      <c r="D166" s="70">
        <f>IF($V166="","",INDEX($Q$2:$Q$401,$V166))</f>
        <v/>
      </c>
      <c r="E166" s="4">
        <f>IF($V166="","",IF(INDEX($S$2:$S$401,$V166)&lt;&gt;"",INDEX($S$2:$S$401,$V166),IF(INDEX($R$2:$R$401,$V166)&lt;$B$2,"Vencida",IF(INDEX($R$2:$R$401,$V166)=$B$2,"Hoy","Programada"))))</f>
        <v/>
      </c>
      <c r="P166" s="26" t="n">
        <v>17</v>
      </c>
      <c r="Q166" s="26" t="n">
        <v>5</v>
      </c>
      <c r="R166" s="26">
        <f>INDEX(Progreso!$AZ$2:$BI$41,$P166,$Q166)</f>
        <v/>
      </c>
      <c r="S166" s="18">
        <f>IF(INDEX(Progreso!$AB$2:$AK$41,$P166,$Q166)=0,"",INDEX(Progreso!$AB$2:$AK$41,$P166,$Q166))</f>
        <v/>
      </c>
      <c r="T166" s="26">
        <f>IF($R166=0,"",COUNTIFS($R$2:$R$401,"&gt;0",$R$2:$R$401,"&lt;"&amp;$R166)+COUNTIFS($R$2:R166,"="&amp;$R166))</f>
        <v/>
      </c>
      <c r="V166" s="26">
        <f>IFERROR(MATCH(ROW()-ROW($V$12),$T$2:$T$401,0),"")</f>
        <v/>
      </c>
    </row>
    <row r="167" ht="22.5" customHeight="1">
      <c r="A167" s="78">
        <f>IF($V167="","",INDEX($R$2:$R$401,$V167))</f>
        <v/>
      </c>
      <c r="B167" s="2">
        <f>IF($V167="","",INDEX(DIAS_SEMANA,WEEKDAY(INDEX($R$2:$R$401,$V167),2)))</f>
        <v/>
      </c>
      <c r="C167" s="2">
        <f>IF($V167="","","Tema "&amp;INDEX($P$2:$P$401,$V167))</f>
        <v/>
      </c>
      <c r="D167" s="69">
        <f>IF($V167="","",INDEX($Q$2:$Q$401,$V167))</f>
        <v/>
      </c>
      <c r="E167" s="2">
        <f>IF($V167="","",IF(INDEX($S$2:$S$401,$V167)&lt;&gt;"",INDEX($S$2:$S$401,$V167),IF(INDEX($R$2:$R$401,$V167)&lt;$B$2,"Vencida",IF(INDEX($R$2:$R$401,$V167)=$B$2,"Hoy","Programada"))))</f>
        <v/>
      </c>
      <c r="P167" s="26" t="n">
        <v>17</v>
      </c>
      <c r="Q167" s="26" t="n">
        <v>6</v>
      </c>
      <c r="R167" s="26">
        <f>INDEX(Progreso!$AZ$2:$BI$41,$P167,$Q167)</f>
        <v/>
      </c>
      <c r="S167" s="18">
        <f>IF(INDEX(Progreso!$AB$2:$AK$41,$P167,$Q167)=0,"",INDEX(Progreso!$AB$2:$AK$41,$P167,$Q167))</f>
        <v/>
      </c>
      <c r="T167" s="26">
        <f>IF($R167=0,"",COUNTIFS($R$2:$R$401,"&gt;0",$R$2:$R$401,"&lt;"&amp;$R167)+COUNTIFS($R$2:R167,"="&amp;$R167))</f>
        <v/>
      </c>
      <c r="V167" s="26">
        <f>IFERROR(MATCH(ROW()-ROW($V$12),$T$2:$T$401,0),"")</f>
        <v/>
      </c>
    </row>
    <row r="168" ht="22.5" customHeight="1">
      <c r="A168" s="85">
        <f>IF($V168="","",INDEX($R$2:$R$401,$V168))</f>
        <v/>
      </c>
      <c r="B168" s="4">
        <f>IF($V168="","",INDEX(DIAS_SEMANA,WEEKDAY(INDEX($R$2:$R$401,$V168),2)))</f>
        <v/>
      </c>
      <c r="C168" s="4">
        <f>IF($V168="","","Tema "&amp;INDEX($P$2:$P$401,$V168))</f>
        <v/>
      </c>
      <c r="D168" s="70">
        <f>IF($V168="","",INDEX($Q$2:$Q$401,$V168))</f>
        <v/>
      </c>
      <c r="E168" s="4">
        <f>IF($V168="","",IF(INDEX($S$2:$S$401,$V168)&lt;&gt;"",INDEX($S$2:$S$401,$V168),IF(INDEX($R$2:$R$401,$V168)&lt;$B$2,"Vencida",IF(INDEX($R$2:$R$401,$V168)=$B$2,"Hoy","Programada"))))</f>
        <v/>
      </c>
      <c r="P168" s="26" t="n">
        <v>17</v>
      </c>
      <c r="Q168" s="26" t="n">
        <v>7</v>
      </c>
      <c r="R168" s="26">
        <f>INDEX(Progreso!$AZ$2:$BI$41,$P168,$Q168)</f>
        <v/>
      </c>
      <c r="S168" s="18">
        <f>IF(INDEX(Progreso!$AB$2:$AK$41,$P168,$Q168)=0,"",INDEX(Progreso!$AB$2:$AK$41,$P168,$Q168))</f>
        <v/>
      </c>
      <c r="T168" s="26">
        <f>IF($R168=0,"",COUNTIFS($R$2:$R$401,"&gt;0",$R$2:$R$401,"&lt;"&amp;$R168)+COUNTIFS($R$2:R168,"="&amp;$R168))</f>
        <v/>
      </c>
      <c r="V168" s="26">
        <f>IFERROR(MATCH(ROW()-ROW($V$12),$T$2:$T$401,0),"")</f>
        <v/>
      </c>
    </row>
    <row r="169" ht="22.5" customHeight="1">
      <c r="A169" s="78">
        <f>IF($V169="","",INDEX($R$2:$R$401,$V169))</f>
        <v/>
      </c>
      <c r="B169" s="2">
        <f>IF($V169="","",INDEX(DIAS_SEMANA,WEEKDAY(INDEX($R$2:$R$401,$V169),2)))</f>
        <v/>
      </c>
      <c r="C169" s="2">
        <f>IF($V169="","","Tema "&amp;INDEX($P$2:$P$401,$V169))</f>
        <v/>
      </c>
      <c r="D169" s="69">
        <f>IF($V169="","",INDEX($Q$2:$Q$401,$V169))</f>
        <v/>
      </c>
      <c r="E169" s="2">
        <f>IF($V169="","",IF(INDEX($S$2:$S$401,$V169)&lt;&gt;"",INDEX($S$2:$S$401,$V169),IF(INDEX($R$2:$R$401,$V169)&lt;$B$2,"Vencida",IF(INDEX($R$2:$R$401,$V169)=$B$2,"Hoy","Programada"))))</f>
        <v/>
      </c>
      <c r="P169" s="26" t="n">
        <v>17</v>
      </c>
      <c r="Q169" s="26" t="n">
        <v>8</v>
      </c>
      <c r="R169" s="26">
        <f>INDEX(Progreso!$AZ$2:$BI$41,$P169,$Q169)</f>
        <v/>
      </c>
      <c r="S169" s="18">
        <f>IF(INDEX(Progreso!$AB$2:$AK$41,$P169,$Q169)=0,"",INDEX(Progreso!$AB$2:$AK$41,$P169,$Q169))</f>
        <v/>
      </c>
      <c r="T169" s="26">
        <f>IF($R169=0,"",COUNTIFS($R$2:$R$401,"&gt;0",$R$2:$R$401,"&lt;"&amp;$R169)+COUNTIFS($R$2:R169,"="&amp;$R169))</f>
        <v/>
      </c>
      <c r="V169" s="26">
        <f>IFERROR(MATCH(ROW()-ROW($V$12),$T$2:$T$401,0),"")</f>
        <v/>
      </c>
    </row>
    <row r="170" ht="22.5" customHeight="1">
      <c r="A170" s="85">
        <f>IF($V170="","",INDEX($R$2:$R$401,$V170))</f>
        <v/>
      </c>
      <c r="B170" s="4">
        <f>IF($V170="","",INDEX(DIAS_SEMANA,WEEKDAY(INDEX($R$2:$R$401,$V170),2)))</f>
        <v/>
      </c>
      <c r="C170" s="4">
        <f>IF($V170="","","Tema "&amp;INDEX($P$2:$P$401,$V170))</f>
        <v/>
      </c>
      <c r="D170" s="70">
        <f>IF($V170="","",INDEX($Q$2:$Q$401,$V170))</f>
        <v/>
      </c>
      <c r="E170" s="4">
        <f>IF($V170="","",IF(INDEX($S$2:$S$401,$V170)&lt;&gt;"",INDEX($S$2:$S$401,$V170),IF(INDEX($R$2:$R$401,$V170)&lt;$B$2,"Vencida",IF(INDEX($R$2:$R$401,$V170)=$B$2,"Hoy","Programada"))))</f>
        <v/>
      </c>
      <c r="P170" s="26" t="n">
        <v>17</v>
      </c>
      <c r="Q170" s="26" t="n">
        <v>9</v>
      </c>
      <c r="R170" s="26">
        <f>INDEX(Progreso!$AZ$2:$BI$41,$P170,$Q170)</f>
        <v/>
      </c>
      <c r="S170" s="18">
        <f>IF(INDEX(Progreso!$AB$2:$AK$41,$P170,$Q170)=0,"",INDEX(Progreso!$AB$2:$AK$41,$P170,$Q170))</f>
        <v/>
      </c>
      <c r="T170" s="26">
        <f>IF($R170=0,"",COUNTIFS($R$2:$R$401,"&gt;0",$R$2:$R$401,"&lt;"&amp;$R170)+COUNTIFS($R$2:R170,"="&amp;$R170))</f>
        <v/>
      </c>
      <c r="V170" s="26">
        <f>IFERROR(MATCH(ROW()-ROW($V$12),$T$2:$T$401,0),"")</f>
        <v/>
      </c>
    </row>
    <row r="171" ht="22.5" customHeight="1">
      <c r="A171" s="78">
        <f>IF($V171="","",INDEX($R$2:$R$401,$V171))</f>
        <v/>
      </c>
      <c r="B171" s="2">
        <f>IF($V171="","",INDEX(DIAS_SEMANA,WEEKDAY(INDEX($R$2:$R$401,$V171),2)))</f>
        <v/>
      </c>
      <c r="C171" s="2">
        <f>IF($V171="","","Tema "&amp;INDEX($P$2:$P$401,$V171))</f>
        <v/>
      </c>
      <c r="D171" s="69">
        <f>IF($V171="","",INDEX($Q$2:$Q$401,$V171))</f>
        <v/>
      </c>
      <c r="E171" s="2">
        <f>IF($V171="","",IF(INDEX($S$2:$S$401,$V171)&lt;&gt;"",INDEX($S$2:$S$401,$V171),IF(INDEX($R$2:$R$401,$V171)&lt;$B$2,"Vencida",IF(INDEX($R$2:$R$401,$V171)=$B$2,"Hoy","Programada"))))</f>
        <v/>
      </c>
      <c r="P171" s="26" t="n">
        <v>17</v>
      </c>
      <c r="Q171" s="26" t="n">
        <v>10</v>
      </c>
      <c r="R171" s="26">
        <f>INDEX(Progreso!$AZ$2:$BI$41,$P171,$Q171)</f>
        <v/>
      </c>
      <c r="S171" s="18">
        <f>IF(INDEX(Progreso!$AB$2:$AK$41,$P171,$Q171)=0,"",INDEX(Progreso!$AB$2:$AK$41,$P171,$Q171))</f>
        <v/>
      </c>
      <c r="T171" s="26">
        <f>IF($R171=0,"",COUNTIFS($R$2:$R$401,"&gt;0",$R$2:$R$401,"&lt;"&amp;$R171)+COUNTIFS($R$2:R171,"="&amp;$R171))</f>
        <v/>
      </c>
      <c r="V171" s="26">
        <f>IFERROR(MATCH(ROW()-ROW($V$12),$T$2:$T$401,0),"")</f>
        <v/>
      </c>
    </row>
    <row r="172" ht="22.5" customHeight="1">
      <c r="A172" s="85">
        <f>IF($V172="","",INDEX($R$2:$R$401,$V172))</f>
        <v/>
      </c>
      <c r="B172" s="4">
        <f>IF($V172="","",INDEX(DIAS_SEMANA,WEEKDAY(INDEX($R$2:$R$401,$V172),2)))</f>
        <v/>
      </c>
      <c r="C172" s="4">
        <f>IF($V172="","","Tema "&amp;INDEX($P$2:$P$401,$V172))</f>
        <v/>
      </c>
      <c r="D172" s="70">
        <f>IF($V172="","",INDEX($Q$2:$Q$401,$V172))</f>
        <v/>
      </c>
      <c r="E172" s="4">
        <f>IF($V172="","",IF(INDEX($S$2:$S$401,$V172)&lt;&gt;"",INDEX($S$2:$S$401,$V172),IF(INDEX($R$2:$R$401,$V172)&lt;$B$2,"Vencida",IF(INDEX($R$2:$R$401,$V172)=$B$2,"Hoy","Programada"))))</f>
        <v/>
      </c>
      <c r="P172" s="26" t="n">
        <v>18</v>
      </c>
      <c r="Q172" s="26" t="n">
        <v>1</v>
      </c>
      <c r="R172" s="26">
        <f>INDEX(Progreso!$AZ$2:$BI$41,$P172,$Q172)</f>
        <v/>
      </c>
      <c r="S172" s="18">
        <f>IF(INDEX(Progreso!$AB$2:$AK$41,$P172,$Q172)=0,"",INDEX(Progreso!$AB$2:$AK$41,$P172,$Q172))</f>
        <v/>
      </c>
      <c r="T172" s="26">
        <f>IF($R172=0,"",COUNTIFS($R$2:$R$401,"&gt;0",$R$2:$R$401,"&lt;"&amp;$R172)+COUNTIFS($R$2:R172,"="&amp;$R172))</f>
        <v/>
      </c>
      <c r="V172" s="26">
        <f>IFERROR(MATCH(ROW()-ROW($V$12),$T$2:$T$401,0),"")</f>
        <v/>
      </c>
    </row>
    <row r="173" ht="22.5" customHeight="1">
      <c r="A173" s="78">
        <f>IF($V173="","",INDEX($R$2:$R$401,$V173))</f>
        <v/>
      </c>
      <c r="B173" s="2">
        <f>IF($V173="","",INDEX(DIAS_SEMANA,WEEKDAY(INDEX($R$2:$R$401,$V173),2)))</f>
        <v/>
      </c>
      <c r="C173" s="2">
        <f>IF($V173="","","Tema "&amp;INDEX($P$2:$P$401,$V173))</f>
        <v/>
      </c>
      <c r="D173" s="69">
        <f>IF($V173="","",INDEX($Q$2:$Q$401,$V173))</f>
        <v/>
      </c>
      <c r="E173" s="2">
        <f>IF($V173="","",IF(INDEX($S$2:$S$401,$V173)&lt;&gt;"",INDEX($S$2:$S$401,$V173),IF(INDEX($R$2:$R$401,$V173)&lt;$B$2,"Vencida",IF(INDEX($R$2:$R$401,$V173)=$B$2,"Hoy","Programada"))))</f>
        <v/>
      </c>
      <c r="P173" s="26" t="n">
        <v>18</v>
      </c>
      <c r="Q173" s="26" t="n">
        <v>2</v>
      </c>
      <c r="R173" s="26">
        <f>INDEX(Progreso!$AZ$2:$BI$41,$P173,$Q173)</f>
        <v/>
      </c>
      <c r="S173" s="18">
        <f>IF(INDEX(Progreso!$AB$2:$AK$41,$P173,$Q173)=0,"",INDEX(Progreso!$AB$2:$AK$41,$P173,$Q173))</f>
        <v/>
      </c>
      <c r="T173" s="26">
        <f>IF($R173=0,"",COUNTIFS($R$2:$R$401,"&gt;0",$R$2:$R$401,"&lt;"&amp;$R173)+COUNTIFS($R$2:R173,"="&amp;$R173))</f>
        <v/>
      </c>
      <c r="V173" s="26">
        <f>IFERROR(MATCH(ROW()-ROW($V$12),$T$2:$T$401,0),"")</f>
        <v/>
      </c>
    </row>
    <row r="174" ht="22.5" customHeight="1">
      <c r="A174" s="85">
        <f>IF($V174="","",INDEX($R$2:$R$401,$V174))</f>
        <v/>
      </c>
      <c r="B174" s="4">
        <f>IF($V174="","",INDEX(DIAS_SEMANA,WEEKDAY(INDEX($R$2:$R$401,$V174),2)))</f>
        <v/>
      </c>
      <c r="C174" s="4">
        <f>IF($V174="","","Tema "&amp;INDEX($P$2:$P$401,$V174))</f>
        <v/>
      </c>
      <c r="D174" s="70">
        <f>IF($V174="","",INDEX($Q$2:$Q$401,$V174))</f>
        <v/>
      </c>
      <c r="E174" s="4">
        <f>IF($V174="","",IF(INDEX($S$2:$S$401,$V174)&lt;&gt;"",INDEX($S$2:$S$401,$V174),IF(INDEX($R$2:$R$401,$V174)&lt;$B$2,"Vencida",IF(INDEX($R$2:$R$401,$V174)=$B$2,"Hoy","Programada"))))</f>
        <v/>
      </c>
      <c r="P174" s="26" t="n">
        <v>18</v>
      </c>
      <c r="Q174" s="26" t="n">
        <v>3</v>
      </c>
      <c r="R174" s="26">
        <f>INDEX(Progreso!$AZ$2:$BI$41,$P174,$Q174)</f>
        <v/>
      </c>
      <c r="S174" s="18">
        <f>IF(INDEX(Progreso!$AB$2:$AK$41,$P174,$Q174)=0,"",INDEX(Progreso!$AB$2:$AK$41,$P174,$Q174))</f>
        <v/>
      </c>
      <c r="T174" s="26">
        <f>IF($R174=0,"",COUNTIFS($R$2:$R$401,"&gt;0",$R$2:$R$401,"&lt;"&amp;$R174)+COUNTIFS($R$2:R174,"="&amp;$R174))</f>
        <v/>
      </c>
      <c r="V174" s="26">
        <f>IFERROR(MATCH(ROW()-ROW($V$12),$T$2:$T$401,0),"")</f>
        <v/>
      </c>
    </row>
    <row r="175" ht="22.5" customHeight="1">
      <c r="A175" s="78">
        <f>IF($V175="","",INDEX($R$2:$R$401,$V175))</f>
        <v/>
      </c>
      <c r="B175" s="2">
        <f>IF($V175="","",INDEX(DIAS_SEMANA,WEEKDAY(INDEX($R$2:$R$401,$V175),2)))</f>
        <v/>
      </c>
      <c r="C175" s="2">
        <f>IF($V175="","","Tema "&amp;INDEX($P$2:$P$401,$V175))</f>
        <v/>
      </c>
      <c r="D175" s="69">
        <f>IF($V175="","",INDEX($Q$2:$Q$401,$V175))</f>
        <v/>
      </c>
      <c r="E175" s="2">
        <f>IF($V175="","",IF(INDEX($S$2:$S$401,$V175)&lt;&gt;"",INDEX($S$2:$S$401,$V175),IF(INDEX($R$2:$R$401,$V175)&lt;$B$2,"Vencida",IF(INDEX($R$2:$R$401,$V175)=$B$2,"Hoy","Programada"))))</f>
        <v/>
      </c>
      <c r="P175" s="26" t="n">
        <v>18</v>
      </c>
      <c r="Q175" s="26" t="n">
        <v>4</v>
      </c>
      <c r="R175" s="26">
        <f>INDEX(Progreso!$AZ$2:$BI$41,$P175,$Q175)</f>
        <v/>
      </c>
      <c r="S175" s="18">
        <f>IF(INDEX(Progreso!$AB$2:$AK$41,$P175,$Q175)=0,"",INDEX(Progreso!$AB$2:$AK$41,$P175,$Q175))</f>
        <v/>
      </c>
      <c r="T175" s="26">
        <f>IF($R175=0,"",COUNTIFS($R$2:$R$401,"&gt;0",$R$2:$R$401,"&lt;"&amp;$R175)+COUNTIFS($R$2:R175,"="&amp;$R175))</f>
        <v/>
      </c>
      <c r="V175" s="26">
        <f>IFERROR(MATCH(ROW()-ROW($V$12),$T$2:$T$401,0),"")</f>
        <v/>
      </c>
    </row>
    <row r="176" ht="22.5" customHeight="1">
      <c r="A176" s="85">
        <f>IF($V176="","",INDEX($R$2:$R$401,$V176))</f>
        <v/>
      </c>
      <c r="B176" s="4">
        <f>IF($V176="","",INDEX(DIAS_SEMANA,WEEKDAY(INDEX($R$2:$R$401,$V176),2)))</f>
        <v/>
      </c>
      <c r="C176" s="4">
        <f>IF($V176="","","Tema "&amp;INDEX($P$2:$P$401,$V176))</f>
        <v/>
      </c>
      <c r="D176" s="70">
        <f>IF($V176="","",INDEX($Q$2:$Q$401,$V176))</f>
        <v/>
      </c>
      <c r="E176" s="4">
        <f>IF($V176="","",IF(INDEX($S$2:$S$401,$V176)&lt;&gt;"",INDEX($S$2:$S$401,$V176),IF(INDEX($R$2:$R$401,$V176)&lt;$B$2,"Vencida",IF(INDEX($R$2:$R$401,$V176)=$B$2,"Hoy","Programada"))))</f>
        <v/>
      </c>
      <c r="P176" s="26" t="n">
        <v>18</v>
      </c>
      <c r="Q176" s="26" t="n">
        <v>5</v>
      </c>
      <c r="R176" s="26">
        <f>INDEX(Progreso!$AZ$2:$BI$41,$P176,$Q176)</f>
        <v/>
      </c>
      <c r="S176" s="18">
        <f>IF(INDEX(Progreso!$AB$2:$AK$41,$P176,$Q176)=0,"",INDEX(Progreso!$AB$2:$AK$41,$P176,$Q176))</f>
        <v/>
      </c>
      <c r="T176" s="26">
        <f>IF($R176=0,"",COUNTIFS($R$2:$R$401,"&gt;0",$R$2:$R$401,"&lt;"&amp;$R176)+COUNTIFS($R$2:R176,"="&amp;$R176))</f>
        <v/>
      </c>
      <c r="V176" s="26">
        <f>IFERROR(MATCH(ROW()-ROW($V$12),$T$2:$T$401,0),"")</f>
        <v/>
      </c>
    </row>
    <row r="177" ht="22.5" customHeight="1">
      <c r="A177" s="78">
        <f>IF($V177="","",INDEX($R$2:$R$401,$V177))</f>
        <v/>
      </c>
      <c r="B177" s="2">
        <f>IF($V177="","",INDEX(DIAS_SEMANA,WEEKDAY(INDEX($R$2:$R$401,$V177),2)))</f>
        <v/>
      </c>
      <c r="C177" s="2">
        <f>IF($V177="","","Tema "&amp;INDEX($P$2:$P$401,$V177))</f>
        <v/>
      </c>
      <c r="D177" s="69">
        <f>IF($V177="","",INDEX($Q$2:$Q$401,$V177))</f>
        <v/>
      </c>
      <c r="E177" s="2">
        <f>IF($V177="","",IF(INDEX($S$2:$S$401,$V177)&lt;&gt;"",INDEX($S$2:$S$401,$V177),IF(INDEX($R$2:$R$401,$V177)&lt;$B$2,"Vencida",IF(INDEX($R$2:$R$401,$V177)=$B$2,"Hoy","Programada"))))</f>
        <v/>
      </c>
      <c r="P177" s="26" t="n">
        <v>18</v>
      </c>
      <c r="Q177" s="26" t="n">
        <v>6</v>
      </c>
      <c r="R177" s="26">
        <f>INDEX(Progreso!$AZ$2:$BI$41,$P177,$Q177)</f>
        <v/>
      </c>
      <c r="S177" s="18">
        <f>IF(INDEX(Progreso!$AB$2:$AK$41,$P177,$Q177)=0,"",INDEX(Progreso!$AB$2:$AK$41,$P177,$Q177))</f>
        <v/>
      </c>
      <c r="T177" s="26">
        <f>IF($R177=0,"",COUNTIFS($R$2:$R$401,"&gt;0",$R$2:$R$401,"&lt;"&amp;$R177)+COUNTIFS($R$2:R177,"="&amp;$R177))</f>
        <v/>
      </c>
      <c r="V177" s="26">
        <f>IFERROR(MATCH(ROW()-ROW($V$12),$T$2:$T$401,0),"")</f>
        <v/>
      </c>
    </row>
    <row r="178" ht="22.5" customHeight="1">
      <c r="A178" s="85">
        <f>IF($V178="","",INDEX($R$2:$R$401,$V178))</f>
        <v/>
      </c>
      <c r="B178" s="4">
        <f>IF($V178="","",INDEX(DIAS_SEMANA,WEEKDAY(INDEX($R$2:$R$401,$V178),2)))</f>
        <v/>
      </c>
      <c r="C178" s="4">
        <f>IF($V178="","","Tema "&amp;INDEX($P$2:$P$401,$V178))</f>
        <v/>
      </c>
      <c r="D178" s="70">
        <f>IF($V178="","",INDEX($Q$2:$Q$401,$V178))</f>
        <v/>
      </c>
      <c r="E178" s="4">
        <f>IF($V178="","",IF(INDEX($S$2:$S$401,$V178)&lt;&gt;"",INDEX($S$2:$S$401,$V178),IF(INDEX($R$2:$R$401,$V178)&lt;$B$2,"Vencida",IF(INDEX($R$2:$R$401,$V178)=$B$2,"Hoy","Programada"))))</f>
        <v/>
      </c>
      <c r="P178" s="26" t="n">
        <v>18</v>
      </c>
      <c r="Q178" s="26" t="n">
        <v>7</v>
      </c>
      <c r="R178" s="26">
        <f>INDEX(Progreso!$AZ$2:$BI$41,$P178,$Q178)</f>
        <v/>
      </c>
      <c r="S178" s="18">
        <f>IF(INDEX(Progreso!$AB$2:$AK$41,$P178,$Q178)=0,"",INDEX(Progreso!$AB$2:$AK$41,$P178,$Q178))</f>
        <v/>
      </c>
      <c r="T178" s="26">
        <f>IF($R178=0,"",COUNTIFS($R$2:$R$401,"&gt;0",$R$2:$R$401,"&lt;"&amp;$R178)+COUNTIFS($R$2:R178,"="&amp;$R178))</f>
        <v/>
      </c>
      <c r="V178" s="26">
        <f>IFERROR(MATCH(ROW()-ROW($V$12),$T$2:$T$401,0),"")</f>
        <v/>
      </c>
    </row>
    <row r="179" ht="22.5" customHeight="1">
      <c r="A179" s="78">
        <f>IF($V179="","",INDEX($R$2:$R$401,$V179))</f>
        <v/>
      </c>
      <c r="B179" s="2">
        <f>IF($V179="","",INDEX(DIAS_SEMANA,WEEKDAY(INDEX($R$2:$R$401,$V179),2)))</f>
        <v/>
      </c>
      <c r="C179" s="2">
        <f>IF($V179="","","Tema "&amp;INDEX($P$2:$P$401,$V179))</f>
        <v/>
      </c>
      <c r="D179" s="69">
        <f>IF($V179="","",INDEX($Q$2:$Q$401,$V179))</f>
        <v/>
      </c>
      <c r="E179" s="2">
        <f>IF($V179="","",IF(INDEX($S$2:$S$401,$V179)&lt;&gt;"",INDEX($S$2:$S$401,$V179),IF(INDEX($R$2:$R$401,$V179)&lt;$B$2,"Vencida",IF(INDEX($R$2:$R$401,$V179)=$B$2,"Hoy","Programada"))))</f>
        <v/>
      </c>
      <c r="P179" s="26" t="n">
        <v>18</v>
      </c>
      <c r="Q179" s="26" t="n">
        <v>8</v>
      </c>
      <c r="R179" s="26">
        <f>INDEX(Progreso!$AZ$2:$BI$41,$P179,$Q179)</f>
        <v/>
      </c>
      <c r="S179" s="18">
        <f>IF(INDEX(Progreso!$AB$2:$AK$41,$P179,$Q179)=0,"",INDEX(Progreso!$AB$2:$AK$41,$P179,$Q179))</f>
        <v/>
      </c>
      <c r="T179" s="26">
        <f>IF($R179=0,"",COUNTIFS($R$2:$R$401,"&gt;0",$R$2:$R$401,"&lt;"&amp;$R179)+COUNTIFS($R$2:R179,"="&amp;$R179))</f>
        <v/>
      </c>
      <c r="V179" s="26">
        <f>IFERROR(MATCH(ROW()-ROW($V$12),$T$2:$T$401,0),"")</f>
        <v/>
      </c>
    </row>
    <row r="180" ht="22.5" customHeight="1">
      <c r="A180" s="85">
        <f>IF($V180="","",INDEX($R$2:$R$401,$V180))</f>
        <v/>
      </c>
      <c r="B180" s="4">
        <f>IF($V180="","",INDEX(DIAS_SEMANA,WEEKDAY(INDEX($R$2:$R$401,$V180),2)))</f>
        <v/>
      </c>
      <c r="C180" s="4">
        <f>IF($V180="","","Tema "&amp;INDEX($P$2:$P$401,$V180))</f>
        <v/>
      </c>
      <c r="D180" s="70">
        <f>IF($V180="","",INDEX($Q$2:$Q$401,$V180))</f>
        <v/>
      </c>
      <c r="E180" s="4">
        <f>IF($V180="","",IF(INDEX($S$2:$S$401,$V180)&lt;&gt;"",INDEX($S$2:$S$401,$V180),IF(INDEX($R$2:$R$401,$V180)&lt;$B$2,"Vencida",IF(INDEX($R$2:$R$401,$V180)=$B$2,"Hoy","Programada"))))</f>
        <v/>
      </c>
      <c r="P180" s="26" t="n">
        <v>18</v>
      </c>
      <c r="Q180" s="26" t="n">
        <v>9</v>
      </c>
      <c r="R180" s="26">
        <f>INDEX(Progreso!$AZ$2:$BI$41,$P180,$Q180)</f>
        <v/>
      </c>
      <c r="S180" s="18">
        <f>IF(INDEX(Progreso!$AB$2:$AK$41,$P180,$Q180)=0,"",INDEX(Progreso!$AB$2:$AK$41,$P180,$Q180))</f>
        <v/>
      </c>
      <c r="T180" s="26">
        <f>IF($R180=0,"",COUNTIFS($R$2:$R$401,"&gt;0",$R$2:$R$401,"&lt;"&amp;$R180)+COUNTIFS($R$2:R180,"="&amp;$R180))</f>
        <v/>
      </c>
      <c r="V180" s="26">
        <f>IFERROR(MATCH(ROW()-ROW($V$12),$T$2:$T$401,0),"")</f>
        <v/>
      </c>
    </row>
    <row r="181" ht="22.5" customHeight="1">
      <c r="A181" s="78">
        <f>IF($V181="","",INDEX($R$2:$R$401,$V181))</f>
        <v/>
      </c>
      <c r="B181" s="2">
        <f>IF($V181="","",INDEX(DIAS_SEMANA,WEEKDAY(INDEX($R$2:$R$401,$V181),2)))</f>
        <v/>
      </c>
      <c r="C181" s="2">
        <f>IF($V181="","","Tema "&amp;INDEX($P$2:$P$401,$V181))</f>
        <v/>
      </c>
      <c r="D181" s="69">
        <f>IF($V181="","",INDEX($Q$2:$Q$401,$V181))</f>
        <v/>
      </c>
      <c r="E181" s="2">
        <f>IF($V181="","",IF(INDEX($S$2:$S$401,$V181)&lt;&gt;"",INDEX($S$2:$S$401,$V181),IF(INDEX($R$2:$R$401,$V181)&lt;$B$2,"Vencida",IF(INDEX($R$2:$R$401,$V181)=$B$2,"Hoy","Programada"))))</f>
        <v/>
      </c>
      <c r="P181" s="26" t="n">
        <v>18</v>
      </c>
      <c r="Q181" s="26" t="n">
        <v>10</v>
      </c>
      <c r="R181" s="26">
        <f>INDEX(Progreso!$AZ$2:$BI$41,$P181,$Q181)</f>
        <v/>
      </c>
      <c r="S181" s="18">
        <f>IF(INDEX(Progreso!$AB$2:$AK$41,$P181,$Q181)=0,"",INDEX(Progreso!$AB$2:$AK$41,$P181,$Q181))</f>
        <v/>
      </c>
      <c r="T181" s="26">
        <f>IF($R181=0,"",COUNTIFS($R$2:$R$401,"&gt;0",$R$2:$R$401,"&lt;"&amp;$R181)+COUNTIFS($R$2:R181,"="&amp;$R181))</f>
        <v/>
      </c>
      <c r="V181" s="26">
        <f>IFERROR(MATCH(ROW()-ROW($V$12),$T$2:$T$401,0),"")</f>
        <v/>
      </c>
    </row>
    <row r="182" ht="22.5" customHeight="1">
      <c r="A182" s="85">
        <f>IF($V182="","",INDEX($R$2:$R$401,$V182))</f>
        <v/>
      </c>
      <c r="B182" s="4">
        <f>IF($V182="","",INDEX(DIAS_SEMANA,WEEKDAY(INDEX($R$2:$R$401,$V182),2)))</f>
        <v/>
      </c>
      <c r="C182" s="4">
        <f>IF($V182="","","Tema "&amp;INDEX($P$2:$P$401,$V182))</f>
        <v/>
      </c>
      <c r="D182" s="70">
        <f>IF($V182="","",INDEX($Q$2:$Q$401,$V182))</f>
        <v/>
      </c>
      <c r="E182" s="4">
        <f>IF($V182="","",IF(INDEX($S$2:$S$401,$V182)&lt;&gt;"",INDEX($S$2:$S$401,$V182),IF(INDEX($R$2:$R$401,$V182)&lt;$B$2,"Vencida",IF(INDEX($R$2:$R$401,$V182)=$B$2,"Hoy","Programada"))))</f>
        <v/>
      </c>
      <c r="P182" s="26" t="n">
        <v>19</v>
      </c>
      <c r="Q182" s="26" t="n">
        <v>1</v>
      </c>
      <c r="R182" s="26">
        <f>INDEX(Progreso!$AZ$2:$BI$41,$P182,$Q182)</f>
        <v/>
      </c>
      <c r="S182" s="18">
        <f>IF(INDEX(Progreso!$AB$2:$AK$41,$P182,$Q182)=0,"",INDEX(Progreso!$AB$2:$AK$41,$P182,$Q182))</f>
        <v/>
      </c>
      <c r="T182" s="26">
        <f>IF($R182=0,"",COUNTIFS($R$2:$R$401,"&gt;0",$R$2:$R$401,"&lt;"&amp;$R182)+COUNTIFS($R$2:R182,"="&amp;$R182))</f>
        <v/>
      </c>
      <c r="V182" s="26">
        <f>IFERROR(MATCH(ROW()-ROW($V$12),$T$2:$T$401,0),"")</f>
        <v/>
      </c>
    </row>
    <row r="183" ht="22.5" customHeight="1">
      <c r="A183" s="78">
        <f>IF($V183="","",INDEX($R$2:$R$401,$V183))</f>
        <v/>
      </c>
      <c r="B183" s="2">
        <f>IF($V183="","",INDEX(DIAS_SEMANA,WEEKDAY(INDEX($R$2:$R$401,$V183),2)))</f>
        <v/>
      </c>
      <c r="C183" s="2">
        <f>IF($V183="","","Tema "&amp;INDEX($P$2:$P$401,$V183))</f>
        <v/>
      </c>
      <c r="D183" s="69">
        <f>IF($V183="","",INDEX($Q$2:$Q$401,$V183))</f>
        <v/>
      </c>
      <c r="E183" s="2">
        <f>IF($V183="","",IF(INDEX($S$2:$S$401,$V183)&lt;&gt;"",INDEX($S$2:$S$401,$V183),IF(INDEX($R$2:$R$401,$V183)&lt;$B$2,"Vencida",IF(INDEX($R$2:$R$401,$V183)=$B$2,"Hoy","Programada"))))</f>
        <v/>
      </c>
      <c r="P183" s="26" t="n">
        <v>19</v>
      </c>
      <c r="Q183" s="26" t="n">
        <v>2</v>
      </c>
      <c r="R183" s="26">
        <f>INDEX(Progreso!$AZ$2:$BI$41,$P183,$Q183)</f>
        <v/>
      </c>
      <c r="S183" s="18">
        <f>IF(INDEX(Progreso!$AB$2:$AK$41,$P183,$Q183)=0,"",INDEX(Progreso!$AB$2:$AK$41,$P183,$Q183))</f>
        <v/>
      </c>
      <c r="T183" s="26">
        <f>IF($R183=0,"",COUNTIFS($R$2:$R$401,"&gt;0",$R$2:$R$401,"&lt;"&amp;$R183)+COUNTIFS($R$2:R183,"="&amp;$R183))</f>
        <v/>
      </c>
      <c r="V183" s="26">
        <f>IFERROR(MATCH(ROW()-ROW($V$12),$T$2:$T$401,0),"")</f>
        <v/>
      </c>
    </row>
    <row r="184" ht="22.5" customHeight="1">
      <c r="A184" s="85">
        <f>IF($V184="","",INDEX($R$2:$R$401,$V184))</f>
        <v/>
      </c>
      <c r="B184" s="4">
        <f>IF($V184="","",INDEX(DIAS_SEMANA,WEEKDAY(INDEX($R$2:$R$401,$V184),2)))</f>
        <v/>
      </c>
      <c r="C184" s="4">
        <f>IF($V184="","","Tema "&amp;INDEX($P$2:$P$401,$V184))</f>
        <v/>
      </c>
      <c r="D184" s="70">
        <f>IF($V184="","",INDEX($Q$2:$Q$401,$V184))</f>
        <v/>
      </c>
      <c r="E184" s="4">
        <f>IF($V184="","",IF(INDEX($S$2:$S$401,$V184)&lt;&gt;"",INDEX($S$2:$S$401,$V184),IF(INDEX($R$2:$R$401,$V184)&lt;$B$2,"Vencida",IF(INDEX($R$2:$R$401,$V184)=$B$2,"Hoy","Programada"))))</f>
        <v/>
      </c>
      <c r="P184" s="26" t="n">
        <v>19</v>
      </c>
      <c r="Q184" s="26" t="n">
        <v>3</v>
      </c>
      <c r="R184" s="26">
        <f>INDEX(Progreso!$AZ$2:$BI$41,$P184,$Q184)</f>
        <v/>
      </c>
      <c r="S184" s="18">
        <f>IF(INDEX(Progreso!$AB$2:$AK$41,$P184,$Q184)=0,"",INDEX(Progreso!$AB$2:$AK$41,$P184,$Q184))</f>
        <v/>
      </c>
      <c r="T184" s="26">
        <f>IF($R184=0,"",COUNTIFS($R$2:$R$401,"&gt;0",$R$2:$R$401,"&lt;"&amp;$R184)+COUNTIFS($R$2:R184,"="&amp;$R184))</f>
        <v/>
      </c>
      <c r="V184" s="26">
        <f>IFERROR(MATCH(ROW()-ROW($V$12),$T$2:$T$401,0),"")</f>
        <v/>
      </c>
    </row>
    <row r="185" ht="22.5" customHeight="1">
      <c r="A185" s="78">
        <f>IF($V185="","",INDEX($R$2:$R$401,$V185))</f>
        <v/>
      </c>
      <c r="B185" s="2">
        <f>IF($V185="","",INDEX(DIAS_SEMANA,WEEKDAY(INDEX($R$2:$R$401,$V185),2)))</f>
        <v/>
      </c>
      <c r="C185" s="2">
        <f>IF($V185="","","Tema "&amp;INDEX($P$2:$P$401,$V185))</f>
        <v/>
      </c>
      <c r="D185" s="69">
        <f>IF($V185="","",INDEX($Q$2:$Q$401,$V185))</f>
        <v/>
      </c>
      <c r="E185" s="2">
        <f>IF($V185="","",IF(INDEX($S$2:$S$401,$V185)&lt;&gt;"",INDEX($S$2:$S$401,$V185),IF(INDEX($R$2:$R$401,$V185)&lt;$B$2,"Vencida",IF(INDEX($R$2:$R$401,$V185)=$B$2,"Hoy","Programada"))))</f>
        <v/>
      </c>
      <c r="P185" s="26" t="n">
        <v>19</v>
      </c>
      <c r="Q185" s="26" t="n">
        <v>4</v>
      </c>
      <c r="R185" s="26">
        <f>INDEX(Progreso!$AZ$2:$BI$41,$P185,$Q185)</f>
        <v/>
      </c>
      <c r="S185" s="18">
        <f>IF(INDEX(Progreso!$AB$2:$AK$41,$P185,$Q185)=0,"",INDEX(Progreso!$AB$2:$AK$41,$P185,$Q185))</f>
        <v/>
      </c>
      <c r="T185" s="26">
        <f>IF($R185=0,"",COUNTIFS($R$2:$R$401,"&gt;0",$R$2:$R$401,"&lt;"&amp;$R185)+COUNTIFS($R$2:R185,"="&amp;$R185))</f>
        <v/>
      </c>
      <c r="V185" s="26">
        <f>IFERROR(MATCH(ROW()-ROW($V$12),$T$2:$T$401,0),"")</f>
        <v/>
      </c>
    </row>
    <row r="186" ht="22.5" customHeight="1">
      <c r="A186" s="85">
        <f>IF($V186="","",INDEX($R$2:$R$401,$V186))</f>
        <v/>
      </c>
      <c r="B186" s="4">
        <f>IF($V186="","",INDEX(DIAS_SEMANA,WEEKDAY(INDEX($R$2:$R$401,$V186),2)))</f>
        <v/>
      </c>
      <c r="C186" s="4">
        <f>IF($V186="","","Tema "&amp;INDEX($P$2:$P$401,$V186))</f>
        <v/>
      </c>
      <c r="D186" s="70">
        <f>IF($V186="","",INDEX($Q$2:$Q$401,$V186))</f>
        <v/>
      </c>
      <c r="E186" s="4">
        <f>IF($V186="","",IF(INDEX($S$2:$S$401,$V186)&lt;&gt;"",INDEX($S$2:$S$401,$V186),IF(INDEX($R$2:$R$401,$V186)&lt;$B$2,"Vencida",IF(INDEX($R$2:$R$401,$V186)=$B$2,"Hoy","Programada"))))</f>
        <v/>
      </c>
      <c r="P186" s="26" t="n">
        <v>19</v>
      </c>
      <c r="Q186" s="26" t="n">
        <v>5</v>
      </c>
      <c r="R186" s="26">
        <f>INDEX(Progreso!$AZ$2:$BI$41,$P186,$Q186)</f>
        <v/>
      </c>
      <c r="S186" s="18">
        <f>IF(INDEX(Progreso!$AB$2:$AK$41,$P186,$Q186)=0,"",INDEX(Progreso!$AB$2:$AK$41,$P186,$Q186))</f>
        <v/>
      </c>
      <c r="T186" s="26">
        <f>IF($R186=0,"",COUNTIFS($R$2:$R$401,"&gt;0",$R$2:$R$401,"&lt;"&amp;$R186)+COUNTIFS($R$2:R186,"="&amp;$R186))</f>
        <v/>
      </c>
      <c r="V186" s="26">
        <f>IFERROR(MATCH(ROW()-ROW($V$12),$T$2:$T$401,0),"")</f>
        <v/>
      </c>
    </row>
    <row r="187" ht="22.5" customHeight="1">
      <c r="A187" s="78">
        <f>IF($V187="","",INDEX($R$2:$R$401,$V187))</f>
        <v/>
      </c>
      <c r="B187" s="2">
        <f>IF($V187="","",INDEX(DIAS_SEMANA,WEEKDAY(INDEX($R$2:$R$401,$V187),2)))</f>
        <v/>
      </c>
      <c r="C187" s="2">
        <f>IF($V187="","","Tema "&amp;INDEX($P$2:$P$401,$V187))</f>
        <v/>
      </c>
      <c r="D187" s="69">
        <f>IF($V187="","",INDEX($Q$2:$Q$401,$V187))</f>
        <v/>
      </c>
      <c r="E187" s="2">
        <f>IF($V187="","",IF(INDEX($S$2:$S$401,$V187)&lt;&gt;"",INDEX($S$2:$S$401,$V187),IF(INDEX($R$2:$R$401,$V187)&lt;$B$2,"Vencida",IF(INDEX($R$2:$R$401,$V187)=$B$2,"Hoy","Programada"))))</f>
        <v/>
      </c>
      <c r="P187" s="26" t="n">
        <v>19</v>
      </c>
      <c r="Q187" s="26" t="n">
        <v>6</v>
      </c>
      <c r="R187" s="26">
        <f>INDEX(Progreso!$AZ$2:$BI$41,$P187,$Q187)</f>
        <v/>
      </c>
      <c r="S187" s="18">
        <f>IF(INDEX(Progreso!$AB$2:$AK$41,$P187,$Q187)=0,"",INDEX(Progreso!$AB$2:$AK$41,$P187,$Q187))</f>
        <v/>
      </c>
      <c r="T187" s="26">
        <f>IF($R187=0,"",COUNTIFS($R$2:$R$401,"&gt;0",$R$2:$R$401,"&lt;"&amp;$R187)+COUNTIFS($R$2:R187,"="&amp;$R187))</f>
        <v/>
      </c>
      <c r="V187" s="26">
        <f>IFERROR(MATCH(ROW()-ROW($V$12),$T$2:$T$401,0),"")</f>
        <v/>
      </c>
    </row>
    <row r="188" ht="22.5" customHeight="1">
      <c r="A188" s="85">
        <f>IF($V188="","",INDEX($R$2:$R$401,$V188))</f>
        <v/>
      </c>
      <c r="B188" s="4">
        <f>IF($V188="","",INDEX(DIAS_SEMANA,WEEKDAY(INDEX($R$2:$R$401,$V188),2)))</f>
        <v/>
      </c>
      <c r="C188" s="4">
        <f>IF($V188="","","Tema "&amp;INDEX($P$2:$P$401,$V188))</f>
        <v/>
      </c>
      <c r="D188" s="70">
        <f>IF($V188="","",INDEX($Q$2:$Q$401,$V188))</f>
        <v/>
      </c>
      <c r="E188" s="4">
        <f>IF($V188="","",IF(INDEX($S$2:$S$401,$V188)&lt;&gt;"",INDEX($S$2:$S$401,$V188),IF(INDEX($R$2:$R$401,$V188)&lt;$B$2,"Vencida",IF(INDEX($R$2:$R$401,$V188)=$B$2,"Hoy","Programada"))))</f>
        <v/>
      </c>
      <c r="P188" s="26" t="n">
        <v>19</v>
      </c>
      <c r="Q188" s="26" t="n">
        <v>7</v>
      </c>
      <c r="R188" s="26">
        <f>INDEX(Progreso!$AZ$2:$BI$41,$P188,$Q188)</f>
        <v/>
      </c>
      <c r="S188" s="18">
        <f>IF(INDEX(Progreso!$AB$2:$AK$41,$P188,$Q188)=0,"",INDEX(Progreso!$AB$2:$AK$41,$P188,$Q188))</f>
        <v/>
      </c>
      <c r="T188" s="26">
        <f>IF($R188=0,"",COUNTIFS($R$2:$R$401,"&gt;0",$R$2:$R$401,"&lt;"&amp;$R188)+COUNTIFS($R$2:R188,"="&amp;$R188))</f>
        <v/>
      </c>
      <c r="V188" s="26">
        <f>IFERROR(MATCH(ROW()-ROW($V$12),$T$2:$T$401,0),"")</f>
        <v/>
      </c>
    </row>
    <row r="189" ht="22.5" customHeight="1">
      <c r="A189" s="78">
        <f>IF($V189="","",INDEX($R$2:$R$401,$V189))</f>
        <v/>
      </c>
      <c r="B189" s="2">
        <f>IF($V189="","",INDEX(DIAS_SEMANA,WEEKDAY(INDEX($R$2:$R$401,$V189),2)))</f>
        <v/>
      </c>
      <c r="C189" s="2">
        <f>IF($V189="","","Tema "&amp;INDEX($P$2:$P$401,$V189))</f>
        <v/>
      </c>
      <c r="D189" s="69">
        <f>IF($V189="","",INDEX($Q$2:$Q$401,$V189))</f>
        <v/>
      </c>
      <c r="E189" s="2">
        <f>IF($V189="","",IF(INDEX($S$2:$S$401,$V189)&lt;&gt;"",INDEX($S$2:$S$401,$V189),IF(INDEX($R$2:$R$401,$V189)&lt;$B$2,"Vencida",IF(INDEX($R$2:$R$401,$V189)=$B$2,"Hoy","Programada"))))</f>
        <v/>
      </c>
      <c r="P189" s="26" t="n">
        <v>19</v>
      </c>
      <c r="Q189" s="26" t="n">
        <v>8</v>
      </c>
      <c r="R189" s="26">
        <f>INDEX(Progreso!$AZ$2:$BI$41,$P189,$Q189)</f>
        <v/>
      </c>
      <c r="S189" s="18">
        <f>IF(INDEX(Progreso!$AB$2:$AK$41,$P189,$Q189)=0,"",INDEX(Progreso!$AB$2:$AK$41,$P189,$Q189))</f>
        <v/>
      </c>
      <c r="T189" s="26">
        <f>IF($R189=0,"",COUNTIFS($R$2:$R$401,"&gt;0",$R$2:$R$401,"&lt;"&amp;$R189)+COUNTIFS($R$2:R189,"="&amp;$R189))</f>
        <v/>
      </c>
      <c r="V189" s="26">
        <f>IFERROR(MATCH(ROW()-ROW($V$12),$T$2:$T$401,0),"")</f>
        <v/>
      </c>
    </row>
    <row r="190" ht="22.5" customHeight="1">
      <c r="A190" s="85">
        <f>IF($V190="","",INDEX($R$2:$R$401,$V190))</f>
        <v/>
      </c>
      <c r="B190" s="4">
        <f>IF($V190="","",INDEX(DIAS_SEMANA,WEEKDAY(INDEX($R$2:$R$401,$V190),2)))</f>
        <v/>
      </c>
      <c r="C190" s="4">
        <f>IF($V190="","","Tema "&amp;INDEX($P$2:$P$401,$V190))</f>
        <v/>
      </c>
      <c r="D190" s="70">
        <f>IF($V190="","",INDEX($Q$2:$Q$401,$V190))</f>
        <v/>
      </c>
      <c r="E190" s="4">
        <f>IF($V190="","",IF(INDEX($S$2:$S$401,$V190)&lt;&gt;"",INDEX($S$2:$S$401,$V190),IF(INDEX($R$2:$R$401,$V190)&lt;$B$2,"Vencida",IF(INDEX($R$2:$R$401,$V190)=$B$2,"Hoy","Programada"))))</f>
        <v/>
      </c>
      <c r="P190" s="26" t="n">
        <v>19</v>
      </c>
      <c r="Q190" s="26" t="n">
        <v>9</v>
      </c>
      <c r="R190" s="26">
        <f>INDEX(Progreso!$AZ$2:$BI$41,$P190,$Q190)</f>
        <v/>
      </c>
      <c r="S190" s="18">
        <f>IF(INDEX(Progreso!$AB$2:$AK$41,$P190,$Q190)=0,"",INDEX(Progreso!$AB$2:$AK$41,$P190,$Q190))</f>
        <v/>
      </c>
      <c r="T190" s="26">
        <f>IF($R190=0,"",COUNTIFS($R$2:$R$401,"&gt;0",$R$2:$R$401,"&lt;"&amp;$R190)+COUNTIFS($R$2:R190,"="&amp;$R190))</f>
        <v/>
      </c>
      <c r="V190" s="26">
        <f>IFERROR(MATCH(ROW()-ROW($V$12),$T$2:$T$401,0),"")</f>
        <v/>
      </c>
    </row>
    <row r="191" ht="22.5" customHeight="1">
      <c r="A191" s="78">
        <f>IF($V191="","",INDEX($R$2:$R$401,$V191))</f>
        <v/>
      </c>
      <c r="B191" s="2">
        <f>IF($V191="","",INDEX(DIAS_SEMANA,WEEKDAY(INDEX($R$2:$R$401,$V191),2)))</f>
        <v/>
      </c>
      <c r="C191" s="2">
        <f>IF($V191="","","Tema "&amp;INDEX($P$2:$P$401,$V191))</f>
        <v/>
      </c>
      <c r="D191" s="69">
        <f>IF($V191="","",INDEX($Q$2:$Q$401,$V191))</f>
        <v/>
      </c>
      <c r="E191" s="2">
        <f>IF($V191="","",IF(INDEX($S$2:$S$401,$V191)&lt;&gt;"",INDEX($S$2:$S$401,$V191),IF(INDEX($R$2:$R$401,$V191)&lt;$B$2,"Vencida",IF(INDEX($R$2:$R$401,$V191)=$B$2,"Hoy","Programada"))))</f>
        <v/>
      </c>
      <c r="P191" s="26" t="n">
        <v>19</v>
      </c>
      <c r="Q191" s="26" t="n">
        <v>10</v>
      </c>
      <c r="R191" s="26">
        <f>INDEX(Progreso!$AZ$2:$BI$41,$P191,$Q191)</f>
        <v/>
      </c>
      <c r="S191" s="18">
        <f>IF(INDEX(Progreso!$AB$2:$AK$41,$P191,$Q191)=0,"",INDEX(Progreso!$AB$2:$AK$41,$P191,$Q191))</f>
        <v/>
      </c>
      <c r="T191" s="26">
        <f>IF($R191=0,"",COUNTIFS($R$2:$R$401,"&gt;0",$R$2:$R$401,"&lt;"&amp;$R191)+COUNTIFS($R$2:R191,"="&amp;$R191))</f>
        <v/>
      </c>
      <c r="V191" s="26">
        <f>IFERROR(MATCH(ROW()-ROW($V$12),$T$2:$T$401,0),"")</f>
        <v/>
      </c>
    </row>
    <row r="192" ht="22.5" customHeight="1">
      <c r="A192" s="85">
        <f>IF($V192="","",INDEX($R$2:$R$401,$V192))</f>
        <v/>
      </c>
      <c r="B192" s="4">
        <f>IF($V192="","",INDEX(DIAS_SEMANA,WEEKDAY(INDEX($R$2:$R$401,$V192),2)))</f>
        <v/>
      </c>
      <c r="C192" s="4">
        <f>IF($V192="","","Tema "&amp;INDEX($P$2:$P$401,$V192))</f>
        <v/>
      </c>
      <c r="D192" s="70">
        <f>IF($V192="","",INDEX($Q$2:$Q$401,$V192))</f>
        <v/>
      </c>
      <c r="E192" s="4">
        <f>IF($V192="","",IF(INDEX($S$2:$S$401,$V192)&lt;&gt;"",INDEX($S$2:$S$401,$V192),IF(INDEX($R$2:$R$401,$V192)&lt;$B$2,"Vencida",IF(INDEX($R$2:$R$401,$V192)=$B$2,"Hoy","Programada"))))</f>
        <v/>
      </c>
      <c r="P192" s="26" t="n">
        <v>20</v>
      </c>
      <c r="Q192" s="26" t="n">
        <v>1</v>
      </c>
      <c r="R192" s="26">
        <f>INDEX(Progreso!$AZ$2:$BI$41,$P192,$Q192)</f>
        <v/>
      </c>
      <c r="S192" s="18">
        <f>IF(INDEX(Progreso!$AB$2:$AK$41,$P192,$Q192)=0,"",INDEX(Progreso!$AB$2:$AK$41,$P192,$Q192))</f>
        <v/>
      </c>
      <c r="T192" s="26">
        <f>IF($R192=0,"",COUNTIFS($R$2:$R$401,"&gt;0",$R$2:$R$401,"&lt;"&amp;$R192)+COUNTIFS($R$2:R192,"="&amp;$R192))</f>
        <v/>
      </c>
      <c r="V192" s="26">
        <f>IFERROR(MATCH(ROW()-ROW($V$12),$T$2:$T$401,0),"")</f>
        <v/>
      </c>
    </row>
    <row r="193" ht="22.5" customHeight="1">
      <c r="A193" s="78">
        <f>IF($V193="","",INDEX($R$2:$R$401,$V193))</f>
        <v/>
      </c>
      <c r="B193" s="2">
        <f>IF($V193="","",INDEX(DIAS_SEMANA,WEEKDAY(INDEX($R$2:$R$401,$V193),2)))</f>
        <v/>
      </c>
      <c r="C193" s="2">
        <f>IF($V193="","","Tema "&amp;INDEX($P$2:$P$401,$V193))</f>
        <v/>
      </c>
      <c r="D193" s="69">
        <f>IF($V193="","",INDEX($Q$2:$Q$401,$V193))</f>
        <v/>
      </c>
      <c r="E193" s="2">
        <f>IF($V193="","",IF(INDEX($S$2:$S$401,$V193)&lt;&gt;"",INDEX($S$2:$S$401,$V193),IF(INDEX($R$2:$R$401,$V193)&lt;$B$2,"Vencida",IF(INDEX($R$2:$R$401,$V193)=$B$2,"Hoy","Programada"))))</f>
        <v/>
      </c>
      <c r="P193" s="26" t="n">
        <v>20</v>
      </c>
      <c r="Q193" s="26" t="n">
        <v>2</v>
      </c>
      <c r="R193" s="26">
        <f>INDEX(Progreso!$AZ$2:$BI$41,$P193,$Q193)</f>
        <v/>
      </c>
      <c r="S193" s="18">
        <f>IF(INDEX(Progreso!$AB$2:$AK$41,$P193,$Q193)=0,"",INDEX(Progreso!$AB$2:$AK$41,$P193,$Q193))</f>
        <v/>
      </c>
      <c r="T193" s="26">
        <f>IF($R193=0,"",COUNTIFS($R$2:$R$401,"&gt;0",$R$2:$R$401,"&lt;"&amp;$R193)+COUNTIFS($R$2:R193,"="&amp;$R193))</f>
        <v/>
      </c>
      <c r="V193" s="26">
        <f>IFERROR(MATCH(ROW()-ROW($V$12),$T$2:$T$401,0),"")</f>
        <v/>
      </c>
    </row>
    <row r="194" ht="22.5" customHeight="1">
      <c r="A194" s="85">
        <f>IF($V194="","",INDEX($R$2:$R$401,$V194))</f>
        <v/>
      </c>
      <c r="B194" s="4">
        <f>IF($V194="","",INDEX(DIAS_SEMANA,WEEKDAY(INDEX($R$2:$R$401,$V194),2)))</f>
        <v/>
      </c>
      <c r="C194" s="4">
        <f>IF($V194="","","Tema "&amp;INDEX($P$2:$P$401,$V194))</f>
        <v/>
      </c>
      <c r="D194" s="70">
        <f>IF($V194="","",INDEX($Q$2:$Q$401,$V194))</f>
        <v/>
      </c>
      <c r="E194" s="4">
        <f>IF($V194="","",IF(INDEX($S$2:$S$401,$V194)&lt;&gt;"",INDEX($S$2:$S$401,$V194),IF(INDEX($R$2:$R$401,$V194)&lt;$B$2,"Vencida",IF(INDEX($R$2:$R$401,$V194)=$B$2,"Hoy","Programada"))))</f>
        <v/>
      </c>
      <c r="P194" s="26" t="n">
        <v>20</v>
      </c>
      <c r="Q194" s="26" t="n">
        <v>3</v>
      </c>
      <c r="R194" s="26">
        <f>INDEX(Progreso!$AZ$2:$BI$41,$P194,$Q194)</f>
        <v/>
      </c>
      <c r="S194" s="18">
        <f>IF(INDEX(Progreso!$AB$2:$AK$41,$P194,$Q194)=0,"",INDEX(Progreso!$AB$2:$AK$41,$P194,$Q194))</f>
        <v/>
      </c>
      <c r="T194" s="26">
        <f>IF($R194=0,"",COUNTIFS($R$2:$R$401,"&gt;0",$R$2:$R$401,"&lt;"&amp;$R194)+COUNTIFS($R$2:R194,"="&amp;$R194))</f>
        <v/>
      </c>
      <c r="V194" s="26">
        <f>IFERROR(MATCH(ROW()-ROW($V$12),$T$2:$T$401,0),"")</f>
        <v/>
      </c>
    </row>
    <row r="195" ht="22.5" customHeight="1">
      <c r="A195" s="78">
        <f>IF($V195="","",INDEX($R$2:$R$401,$V195))</f>
        <v/>
      </c>
      <c r="B195" s="2">
        <f>IF($V195="","",INDEX(DIAS_SEMANA,WEEKDAY(INDEX($R$2:$R$401,$V195),2)))</f>
        <v/>
      </c>
      <c r="C195" s="2">
        <f>IF($V195="","","Tema "&amp;INDEX($P$2:$P$401,$V195))</f>
        <v/>
      </c>
      <c r="D195" s="69">
        <f>IF($V195="","",INDEX($Q$2:$Q$401,$V195))</f>
        <v/>
      </c>
      <c r="E195" s="2">
        <f>IF($V195="","",IF(INDEX($S$2:$S$401,$V195)&lt;&gt;"",INDEX($S$2:$S$401,$V195),IF(INDEX($R$2:$R$401,$V195)&lt;$B$2,"Vencida",IF(INDEX($R$2:$R$401,$V195)=$B$2,"Hoy","Programada"))))</f>
        <v/>
      </c>
      <c r="P195" s="26" t="n">
        <v>20</v>
      </c>
      <c r="Q195" s="26" t="n">
        <v>4</v>
      </c>
      <c r="R195" s="26">
        <f>INDEX(Progreso!$AZ$2:$BI$41,$P195,$Q195)</f>
        <v/>
      </c>
      <c r="S195" s="18">
        <f>IF(INDEX(Progreso!$AB$2:$AK$41,$P195,$Q195)=0,"",INDEX(Progreso!$AB$2:$AK$41,$P195,$Q195))</f>
        <v/>
      </c>
      <c r="T195" s="26">
        <f>IF($R195=0,"",COUNTIFS($R$2:$R$401,"&gt;0",$R$2:$R$401,"&lt;"&amp;$R195)+COUNTIFS($R$2:R195,"="&amp;$R195))</f>
        <v/>
      </c>
      <c r="V195" s="26">
        <f>IFERROR(MATCH(ROW()-ROW($V$12),$T$2:$T$401,0),"")</f>
        <v/>
      </c>
    </row>
    <row r="196" ht="22.5" customHeight="1">
      <c r="A196" s="85">
        <f>IF($V196="","",INDEX($R$2:$R$401,$V196))</f>
        <v/>
      </c>
      <c r="B196" s="4">
        <f>IF($V196="","",INDEX(DIAS_SEMANA,WEEKDAY(INDEX($R$2:$R$401,$V196),2)))</f>
        <v/>
      </c>
      <c r="C196" s="4">
        <f>IF($V196="","","Tema "&amp;INDEX($P$2:$P$401,$V196))</f>
        <v/>
      </c>
      <c r="D196" s="70">
        <f>IF($V196="","",INDEX($Q$2:$Q$401,$V196))</f>
        <v/>
      </c>
      <c r="E196" s="4">
        <f>IF($V196="","",IF(INDEX($S$2:$S$401,$V196)&lt;&gt;"",INDEX($S$2:$S$401,$V196),IF(INDEX($R$2:$R$401,$V196)&lt;$B$2,"Vencida",IF(INDEX($R$2:$R$401,$V196)=$B$2,"Hoy","Programada"))))</f>
        <v/>
      </c>
      <c r="P196" s="26" t="n">
        <v>20</v>
      </c>
      <c r="Q196" s="26" t="n">
        <v>5</v>
      </c>
      <c r="R196" s="26">
        <f>INDEX(Progreso!$AZ$2:$BI$41,$P196,$Q196)</f>
        <v/>
      </c>
      <c r="S196" s="18">
        <f>IF(INDEX(Progreso!$AB$2:$AK$41,$P196,$Q196)=0,"",INDEX(Progreso!$AB$2:$AK$41,$P196,$Q196))</f>
        <v/>
      </c>
      <c r="T196" s="26">
        <f>IF($R196=0,"",COUNTIFS($R$2:$R$401,"&gt;0",$R$2:$R$401,"&lt;"&amp;$R196)+COUNTIFS($R$2:R196,"="&amp;$R196))</f>
        <v/>
      </c>
      <c r="V196" s="26">
        <f>IFERROR(MATCH(ROW()-ROW($V$12),$T$2:$T$401,0),"")</f>
        <v/>
      </c>
    </row>
    <row r="197" ht="22.5" customHeight="1">
      <c r="A197" s="78">
        <f>IF($V197="","",INDEX($R$2:$R$401,$V197))</f>
        <v/>
      </c>
      <c r="B197" s="2">
        <f>IF($V197="","",INDEX(DIAS_SEMANA,WEEKDAY(INDEX($R$2:$R$401,$V197),2)))</f>
        <v/>
      </c>
      <c r="C197" s="2">
        <f>IF($V197="","","Tema "&amp;INDEX($P$2:$P$401,$V197))</f>
        <v/>
      </c>
      <c r="D197" s="69">
        <f>IF($V197="","",INDEX($Q$2:$Q$401,$V197))</f>
        <v/>
      </c>
      <c r="E197" s="2">
        <f>IF($V197="","",IF(INDEX($S$2:$S$401,$V197)&lt;&gt;"",INDEX($S$2:$S$401,$V197),IF(INDEX($R$2:$R$401,$V197)&lt;$B$2,"Vencida",IF(INDEX($R$2:$R$401,$V197)=$B$2,"Hoy","Programada"))))</f>
        <v/>
      </c>
      <c r="P197" s="26" t="n">
        <v>20</v>
      </c>
      <c r="Q197" s="26" t="n">
        <v>6</v>
      </c>
      <c r="R197" s="26">
        <f>INDEX(Progreso!$AZ$2:$BI$41,$P197,$Q197)</f>
        <v/>
      </c>
      <c r="S197" s="18">
        <f>IF(INDEX(Progreso!$AB$2:$AK$41,$P197,$Q197)=0,"",INDEX(Progreso!$AB$2:$AK$41,$P197,$Q197))</f>
        <v/>
      </c>
      <c r="T197" s="26">
        <f>IF($R197=0,"",COUNTIFS($R$2:$R$401,"&gt;0",$R$2:$R$401,"&lt;"&amp;$R197)+COUNTIFS($R$2:R197,"="&amp;$R197))</f>
        <v/>
      </c>
      <c r="V197" s="26">
        <f>IFERROR(MATCH(ROW()-ROW($V$12),$T$2:$T$401,0),"")</f>
        <v/>
      </c>
    </row>
    <row r="198" ht="22.5" customHeight="1">
      <c r="A198" s="85">
        <f>IF($V198="","",INDEX($R$2:$R$401,$V198))</f>
        <v/>
      </c>
      <c r="B198" s="4">
        <f>IF($V198="","",INDEX(DIAS_SEMANA,WEEKDAY(INDEX($R$2:$R$401,$V198),2)))</f>
        <v/>
      </c>
      <c r="C198" s="4">
        <f>IF($V198="","","Tema "&amp;INDEX($P$2:$P$401,$V198))</f>
        <v/>
      </c>
      <c r="D198" s="70">
        <f>IF($V198="","",INDEX($Q$2:$Q$401,$V198))</f>
        <v/>
      </c>
      <c r="E198" s="4">
        <f>IF($V198="","",IF(INDEX($S$2:$S$401,$V198)&lt;&gt;"",INDEX($S$2:$S$401,$V198),IF(INDEX($R$2:$R$401,$V198)&lt;$B$2,"Vencida",IF(INDEX($R$2:$R$401,$V198)=$B$2,"Hoy","Programada"))))</f>
        <v/>
      </c>
      <c r="P198" s="26" t="n">
        <v>20</v>
      </c>
      <c r="Q198" s="26" t="n">
        <v>7</v>
      </c>
      <c r="R198" s="26">
        <f>INDEX(Progreso!$AZ$2:$BI$41,$P198,$Q198)</f>
        <v/>
      </c>
      <c r="S198" s="18">
        <f>IF(INDEX(Progreso!$AB$2:$AK$41,$P198,$Q198)=0,"",INDEX(Progreso!$AB$2:$AK$41,$P198,$Q198))</f>
        <v/>
      </c>
      <c r="T198" s="26">
        <f>IF($R198=0,"",COUNTIFS($R$2:$R$401,"&gt;0",$R$2:$R$401,"&lt;"&amp;$R198)+COUNTIFS($R$2:R198,"="&amp;$R198))</f>
        <v/>
      </c>
      <c r="V198" s="26">
        <f>IFERROR(MATCH(ROW()-ROW($V$12),$T$2:$T$401,0),"")</f>
        <v/>
      </c>
    </row>
    <row r="199" ht="22.5" customHeight="1">
      <c r="A199" s="78">
        <f>IF($V199="","",INDEX($R$2:$R$401,$V199))</f>
        <v/>
      </c>
      <c r="B199" s="2">
        <f>IF($V199="","",INDEX(DIAS_SEMANA,WEEKDAY(INDEX($R$2:$R$401,$V199),2)))</f>
        <v/>
      </c>
      <c r="C199" s="2">
        <f>IF($V199="","","Tema "&amp;INDEX($P$2:$P$401,$V199))</f>
        <v/>
      </c>
      <c r="D199" s="69">
        <f>IF($V199="","",INDEX($Q$2:$Q$401,$V199))</f>
        <v/>
      </c>
      <c r="E199" s="2">
        <f>IF($V199="","",IF(INDEX($S$2:$S$401,$V199)&lt;&gt;"",INDEX($S$2:$S$401,$V199),IF(INDEX($R$2:$R$401,$V199)&lt;$B$2,"Vencida",IF(INDEX($R$2:$R$401,$V199)=$B$2,"Hoy","Programada"))))</f>
        <v/>
      </c>
      <c r="P199" s="26" t="n">
        <v>20</v>
      </c>
      <c r="Q199" s="26" t="n">
        <v>8</v>
      </c>
      <c r="R199" s="26">
        <f>INDEX(Progreso!$AZ$2:$BI$41,$P199,$Q199)</f>
        <v/>
      </c>
      <c r="S199" s="18">
        <f>IF(INDEX(Progreso!$AB$2:$AK$41,$P199,$Q199)=0,"",INDEX(Progreso!$AB$2:$AK$41,$P199,$Q199))</f>
        <v/>
      </c>
      <c r="T199" s="26">
        <f>IF($R199=0,"",COUNTIFS($R$2:$R$401,"&gt;0",$R$2:$R$401,"&lt;"&amp;$R199)+COUNTIFS($R$2:R199,"="&amp;$R199))</f>
        <v/>
      </c>
      <c r="V199" s="26">
        <f>IFERROR(MATCH(ROW()-ROW($V$12),$T$2:$T$401,0),"")</f>
        <v/>
      </c>
    </row>
    <row r="200" ht="22.5" customHeight="1">
      <c r="A200" s="85">
        <f>IF($V200="","",INDEX($R$2:$R$401,$V200))</f>
        <v/>
      </c>
      <c r="B200" s="4">
        <f>IF($V200="","",INDEX(DIAS_SEMANA,WEEKDAY(INDEX($R$2:$R$401,$V200),2)))</f>
        <v/>
      </c>
      <c r="C200" s="4">
        <f>IF($V200="","","Tema "&amp;INDEX($P$2:$P$401,$V200))</f>
        <v/>
      </c>
      <c r="D200" s="70">
        <f>IF($V200="","",INDEX($Q$2:$Q$401,$V200))</f>
        <v/>
      </c>
      <c r="E200" s="4">
        <f>IF($V200="","",IF(INDEX($S$2:$S$401,$V200)&lt;&gt;"",INDEX($S$2:$S$401,$V200),IF(INDEX($R$2:$R$401,$V200)&lt;$B$2,"Vencida",IF(INDEX($R$2:$R$401,$V200)=$B$2,"Hoy","Programada"))))</f>
        <v/>
      </c>
      <c r="P200" s="26" t="n">
        <v>20</v>
      </c>
      <c r="Q200" s="26" t="n">
        <v>9</v>
      </c>
      <c r="R200" s="26">
        <f>INDEX(Progreso!$AZ$2:$BI$41,$P200,$Q200)</f>
        <v/>
      </c>
      <c r="S200" s="18">
        <f>IF(INDEX(Progreso!$AB$2:$AK$41,$P200,$Q200)=0,"",INDEX(Progreso!$AB$2:$AK$41,$P200,$Q200))</f>
        <v/>
      </c>
      <c r="T200" s="26">
        <f>IF($R200=0,"",COUNTIFS($R$2:$R$401,"&gt;0",$R$2:$R$401,"&lt;"&amp;$R200)+COUNTIFS($R$2:R200,"="&amp;$R200))</f>
        <v/>
      </c>
      <c r="V200" s="26">
        <f>IFERROR(MATCH(ROW()-ROW($V$12),$T$2:$T$401,0),"")</f>
        <v/>
      </c>
    </row>
    <row r="201" ht="22.5" customHeight="1">
      <c r="A201" s="78">
        <f>IF($V201="","",INDEX($R$2:$R$401,$V201))</f>
        <v/>
      </c>
      <c r="B201" s="2">
        <f>IF($V201="","",INDEX(DIAS_SEMANA,WEEKDAY(INDEX($R$2:$R$401,$V201),2)))</f>
        <v/>
      </c>
      <c r="C201" s="2">
        <f>IF($V201="","","Tema "&amp;INDEX($P$2:$P$401,$V201))</f>
        <v/>
      </c>
      <c r="D201" s="69">
        <f>IF($V201="","",INDEX($Q$2:$Q$401,$V201))</f>
        <v/>
      </c>
      <c r="E201" s="2">
        <f>IF($V201="","",IF(INDEX($S$2:$S$401,$V201)&lt;&gt;"",INDEX($S$2:$S$401,$V201),IF(INDEX($R$2:$R$401,$V201)&lt;$B$2,"Vencida",IF(INDEX($R$2:$R$401,$V201)=$B$2,"Hoy","Programada"))))</f>
        <v/>
      </c>
      <c r="P201" s="26" t="n">
        <v>20</v>
      </c>
      <c r="Q201" s="26" t="n">
        <v>10</v>
      </c>
      <c r="R201" s="26">
        <f>INDEX(Progreso!$AZ$2:$BI$41,$P201,$Q201)</f>
        <v/>
      </c>
      <c r="S201" s="18">
        <f>IF(INDEX(Progreso!$AB$2:$AK$41,$P201,$Q201)=0,"",INDEX(Progreso!$AB$2:$AK$41,$P201,$Q201))</f>
        <v/>
      </c>
      <c r="T201" s="26">
        <f>IF($R201=0,"",COUNTIFS($R$2:$R$401,"&gt;0",$R$2:$R$401,"&lt;"&amp;$R201)+COUNTIFS($R$2:R201,"="&amp;$R201))</f>
        <v/>
      </c>
      <c r="V201" s="26">
        <f>IFERROR(MATCH(ROW()-ROW($V$12),$T$2:$T$401,0),"")</f>
        <v/>
      </c>
    </row>
    <row r="202" ht="22.5" customHeight="1">
      <c r="A202" s="85">
        <f>IF($V202="","",INDEX($R$2:$R$401,$V202))</f>
        <v/>
      </c>
      <c r="B202" s="4">
        <f>IF($V202="","",INDEX(DIAS_SEMANA,WEEKDAY(INDEX($R$2:$R$401,$V202),2)))</f>
        <v/>
      </c>
      <c r="C202" s="4">
        <f>IF($V202="","","Tema "&amp;INDEX($P$2:$P$401,$V202))</f>
        <v/>
      </c>
      <c r="D202" s="70">
        <f>IF($V202="","",INDEX($Q$2:$Q$401,$V202))</f>
        <v/>
      </c>
      <c r="E202" s="4">
        <f>IF($V202="","",IF(INDEX($S$2:$S$401,$V202)&lt;&gt;"",INDEX($S$2:$S$401,$V202),IF(INDEX($R$2:$R$401,$V202)&lt;$B$2,"Vencida",IF(INDEX($R$2:$R$401,$V202)=$B$2,"Hoy","Programada"))))</f>
        <v/>
      </c>
      <c r="P202" s="26" t="n">
        <v>21</v>
      </c>
      <c r="Q202" s="26" t="n">
        <v>1</v>
      </c>
      <c r="R202" s="26">
        <f>INDEX(Progreso!$AZ$2:$BI$41,$P202,$Q202)</f>
        <v/>
      </c>
      <c r="S202" s="18">
        <f>IF(INDEX(Progreso!$AB$2:$AK$41,$P202,$Q202)=0,"",INDEX(Progreso!$AB$2:$AK$41,$P202,$Q202))</f>
        <v/>
      </c>
      <c r="T202" s="26">
        <f>IF($R202=0,"",COUNTIFS($R$2:$R$401,"&gt;0",$R$2:$R$401,"&lt;"&amp;$R202)+COUNTIFS($R$2:R202,"="&amp;$R202))</f>
        <v/>
      </c>
      <c r="V202" s="26">
        <f>IFERROR(MATCH(ROW()-ROW($V$12),$T$2:$T$401,0),"")</f>
        <v/>
      </c>
    </row>
    <row r="203" ht="22.5" customHeight="1">
      <c r="A203" s="78">
        <f>IF($V203="","",INDEX($R$2:$R$401,$V203))</f>
        <v/>
      </c>
      <c r="B203" s="2">
        <f>IF($V203="","",INDEX(DIAS_SEMANA,WEEKDAY(INDEX($R$2:$R$401,$V203),2)))</f>
        <v/>
      </c>
      <c r="C203" s="2">
        <f>IF($V203="","","Tema "&amp;INDEX($P$2:$P$401,$V203))</f>
        <v/>
      </c>
      <c r="D203" s="69">
        <f>IF($V203="","",INDEX($Q$2:$Q$401,$V203))</f>
        <v/>
      </c>
      <c r="E203" s="2">
        <f>IF($V203="","",IF(INDEX($S$2:$S$401,$V203)&lt;&gt;"",INDEX($S$2:$S$401,$V203),IF(INDEX($R$2:$R$401,$V203)&lt;$B$2,"Vencida",IF(INDEX($R$2:$R$401,$V203)=$B$2,"Hoy","Programada"))))</f>
        <v/>
      </c>
      <c r="P203" s="26" t="n">
        <v>21</v>
      </c>
      <c r="Q203" s="26" t="n">
        <v>2</v>
      </c>
      <c r="R203" s="26">
        <f>INDEX(Progreso!$AZ$2:$BI$41,$P203,$Q203)</f>
        <v/>
      </c>
      <c r="S203" s="18">
        <f>IF(INDEX(Progreso!$AB$2:$AK$41,$P203,$Q203)=0,"",INDEX(Progreso!$AB$2:$AK$41,$P203,$Q203))</f>
        <v/>
      </c>
      <c r="T203" s="26">
        <f>IF($R203=0,"",COUNTIFS($R$2:$R$401,"&gt;0",$R$2:$R$401,"&lt;"&amp;$R203)+COUNTIFS($R$2:R203,"="&amp;$R203))</f>
        <v/>
      </c>
      <c r="V203" s="26">
        <f>IFERROR(MATCH(ROW()-ROW($V$12),$T$2:$T$401,0),"")</f>
        <v/>
      </c>
    </row>
    <row r="204" ht="22.5" customHeight="1">
      <c r="A204" s="85">
        <f>IF($V204="","",INDEX($R$2:$R$401,$V204))</f>
        <v/>
      </c>
      <c r="B204" s="4">
        <f>IF($V204="","",INDEX(DIAS_SEMANA,WEEKDAY(INDEX($R$2:$R$401,$V204),2)))</f>
        <v/>
      </c>
      <c r="C204" s="4">
        <f>IF($V204="","","Tema "&amp;INDEX($P$2:$P$401,$V204))</f>
        <v/>
      </c>
      <c r="D204" s="70">
        <f>IF($V204="","",INDEX($Q$2:$Q$401,$V204))</f>
        <v/>
      </c>
      <c r="E204" s="4">
        <f>IF($V204="","",IF(INDEX($S$2:$S$401,$V204)&lt;&gt;"",INDEX($S$2:$S$401,$V204),IF(INDEX($R$2:$R$401,$V204)&lt;$B$2,"Vencida",IF(INDEX($R$2:$R$401,$V204)=$B$2,"Hoy","Programada"))))</f>
        <v/>
      </c>
      <c r="P204" s="26" t="n">
        <v>21</v>
      </c>
      <c r="Q204" s="26" t="n">
        <v>3</v>
      </c>
      <c r="R204" s="26">
        <f>INDEX(Progreso!$AZ$2:$BI$41,$P204,$Q204)</f>
        <v/>
      </c>
      <c r="S204" s="18">
        <f>IF(INDEX(Progreso!$AB$2:$AK$41,$P204,$Q204)=0,"",INDEX(Progreso!$AB$2:$AK$41,$P204,$Q204))</f>
        <v/>
      </c>
      <c r="T204" s="26">
        <f>IF($R204=0,"",COUNTIFS($R$2:$R$401,"&gt;0",$R$2:$R$401,"&lt;"&amp;$R204)+COUNTIFS($R$2:R204,"="&amp;$R204))</f>
        <v/>
      </c>
      <c r="V204" s="26">
        <f>IFERROR(MATCH(ROW()-ROW($V$12),$T$2:$T$401,0),"")</f>
        <v/>
      </c>
    </row>
    <row r="205" ht="22.5" customHeight="1">
      <c r="A205" s="78">
        <f>IF($V205="","",INDEX($R$2:$R$401,$V205))</f>
        <v/>
      </c>
      <c r="B205" s="2">
        <f>IF($V205="","",INDEX(DIAS_SEMANA,WEEKDAY(INDEX($R$2:$R$401,$V205),2)))</f>
        <v/>
      </c>
      <c r="C205" s="2">
        <f>IF($V205="","","Tema "&amp;INDEX($P$2:$P$401,$V205))</f>
        <v/>
      </c>
      <c r="D205" s="69">
        <f>IF($V205="","",INDEX($Q$2:$Q$401,$V205))</f>
        <v/>
      </c>
      <c r="E205" s="2">
        <f>IF($V205="","",IF(INDEX($S$2:$S$401,$V205)&lt;&gt;"",INDEX($S$2:$S$401,$V205),IF(INDEX($R$2:$R$401,$V205)&lt;$B$2,"Vencida",IF(INDEX($R$2:$R$401,$V205)=$B$2,"Hoy","Programada"))))</f>
        <v/>
      </c>
      <c r="P205" s="26" t="n">
        <v>21</v>
      </c>
      <c r="Q205" s="26" t="n">
        <v>4</v>
      </c>
      <c r="R205" s="26">
        <f>INDEX(Progreso!$AZ$2:$BI$41,$P205,$Q205)</f>
        <v/>
      </c>
      <c r="S205" s="18">
        <f>IF(INDEX(Progreso!$AB$2:$AK$41,$P205,$Q205)=0,"",INDEX(Progreso!$AB$2:$AK$41,$P205,$Q205))</f>
        <v/>
      </c>
      <c r="T205" s="26">
        <f>IF($R205=0,"",COUNTIFS($R$2:$R$401,"&gt;0",$R$2:$R$401,"&lt;"&amp;$R205)+COUNTIFS($R$2:R205,"="&amp;$R205))</f>
        <v/>
      </c>
      <c r="V205" s="26">
        <f>IFERROR(MATCH(ROW()-ROW($V$12),$T$2:$T$401,0),"")</f>
        <v/>
      </c>
    </row>
    <row r="206" ht="22.5" customHeight="1">
      <c r="A206" s="85">
        <f>IF($V206="","",INDEX($R$2:$R$401,$V206))</f>
        <v/>
      </c>
      <c r="B206" s="4">
        <f>IF($V206="","",INDEX(DIAS_SEMANA,WEEKDAY(INDEX($R$2:$R$401,$V206),2)))</f>
        <v/>
      </c>
      <c r="C206" s="4">
        <f>IF($V206="","","Tema "&amp;INDEX($P$2:$P$401,$V206))</f>
        <v/>
      </c>
      <c r="D206" s="70">
        <f>IF($V206="","",INDEX($Q$2:$Q$401,$V206))</f>
        <v/>
      </c>
      <c r="E206" s="4">
        <f>IF($V206="","",IF(INDEX($S$2:$S$401,$V206)&lt;&gt;"",INDEX($S$2:$S$401,$V206),IF(INDEX($R$2:$R$401,$V206)&lt;$B$2,"Vencida",IF(INDEX($R$2:$R$401,$V206)=$B$2,"Hoy","Programada"))))</f>
        <v/>
      </c>
      <c r="P206" s="26" t="n">
        <v>21</v>
      </c>
      <c r="Q206" s="26" t="n">
        <v>5</v>
      </c>
      <c r="R206" s="26">
        <f>INDEX(Progreso!$AZ$2:$BI$41,$P206,$Q206)</f>
        <v/>
      </c>
      <c r="S206" s="18">
        <f>IF(INDEX(Progreso!$AB$2:$AK$41,$P206,$Q206)=0,"",INDEX(Progreso!$AB$2:$AK$41,$P206,$Q206))</f>
        <v/>
      </c>
      <c r="T206" s="26">
        <f>IF($R206=0,"",COUNTIFS($R$2:$R$401,"&gt;0",$R$2:$R$401,"&lt;"&amp;$R206)+COUNTIFS($R$2:R206,"="&amp;$R206))</f>
        <v/>
      </c>
      <c r="V206" s="26">
        <f>IFERROR(MATCH(ROW()-ROW($V$12),$T$2:$T$401,0),"")</f>
        <v/>
      </c>
    </row>
    <row r="207" ht="22.5" customHeight="1">
      <c r="A207" s="78">
        <f>IF($V207="","",INDEX($R$2:$R$401,$V207))</f>
        <v/>
      </c>
      <c r="B207" s="2">
        <f>IF($V207="","",INDEX(DIAS_SEMANA,WEEKDAY(INDEX($R$2:$R$401,$V207),2)))</f>
        <v/>
      </c>
      <c r="C207" s="2">
        <f>IF($V207="","","Tema "&amp;INDEX($P$2:$P$401,$V207))</f>
        <v/>
      </c>
      <c r="D207" s="69">
        <f>IF($V207="","",INDEX($Q$2:$Q$401,$V207))</f>
        <v/>
      </c>
      <c r="E207" s="2">
        <f>IF($V207="","",IF(INDEX($S$2:$S$401,$V207)&lt;&gt;"",INDEX($S$2:$S$401,$V207),IF(INDEX($R$2:$R$401,$V207)&lt;$B$2,"Vencida",IF(INDEX($R$2:$R$401,$V207)=$B$2,"Hoy","Programada"))))</f>
        <v/>
      </c>
      <c r="P207" s="26" t="n">
        <v>21</v>
      </c>
      <c r="Q207" s="26" t="n">
        <v>6</v>
      </c>
      <c r="R207" s="26">
        <f>INDEX(Progreso!$AZ$2:$BI$41,$P207,$Q207)</f>
        <v/>
      </c>
      <c r="S207" s="18">
        <f>IF(INDEX(Progreso!$AB$2:$AK$41,$P207,$Q207)=0,"",INDEX(Progreso!$AB$2:$AK$41,$P207,$Q207))</f>
        <v/>
      </c>
      <c r="T207" s="26">
        <f>IF($R207=0,"",COUNTIFS($R$2:$R$401,"&gt;0",$R$2:$R$401,"&lt;"&amp;$R207)+COUNTIFS($R$2:R207,"="&amp;$R207))</f>
        <v/>
      </c>
      <c r="V207" s="26">
        <f>IFERROR(MATCH(ROW()-ROW($V$12),$T$2:$T$401,0),"")</f>
        <v/>
      </c>
    </row>
    <row r="208" ht="22.5" customHeight="1">
      <c r="A208" s="85">
        <f>IF($V208="","",INDEX($R$2:$R$401,$V208))</f>
        <v/>
      </c>
      <c r="B208" s="4">
        <f>IF($V208="","",INDEX(DIAS_SEMANA,WEEKDAY(INDEX($R$2:$R$401,$V208),2)))</f>
        <v/>
      </c>
      <c r="C208" s="4">
        <f>IF($V208="","","Tema "&amp;INDEX($P$2:$P$401,$V208))</f>
        <v/>
      </c>
      <c r="D208" s="70">
        <f>IF($V208="","",INDEX($Q$2:$Q$401,$V208))</f>
        <v/>
      </c>
      <c r="E208" s="4">
        <f>IF($V208="","",IF(INDEX($S$2:$S$401,$V208)&lt;&gt;"",INDEX($S$2:$S$401,$V208),IF(INDEX($R$2:$R$401,$V208)&lt;$B$2,"Vencida",IF(INDEX($R$2:$R$401,$V208)=$B$2,"Hoy","Programada"))))</f>
        <v/>
      </c>
      <c r="P208" s="26" t="n">
        <v>21</v>
      </c>
      <c r="Q208" s="26" t="n">
        <v>7</v>
      </c>
      <c r="R208" s="26">
        <f>INDEX(Progreso!$AZ$2:$BI$41,$P208,$Q208)</f>
        <v/>
      </c>
      <c r="S208" s="18">
        <f>IF(INDEX(Progreso!$AB$2:$AK$41,$P208,$Q208)=0,"",INDEX(Progreso!$AB$2:$AK$41,$P208,$Q208))</f>
        <v/>
      </c>
      <c r="T208" s="26">
        <f>IF($R208=0,"",COUNTIFS($R$2:$R$401,"&gt;0",$R$2:$R$401,"&lt;"&amp;$R208)+COUNTIFS($R$2:R208,"="&amp;$R208))</f>
        <v/>
      </c>
      <c r="V208" s="26">
        <f>IFERROR(MATCH(ROW()-ROW($V$12),$T$2:$T$401,0),"")</f>
        <v/>
      </c>
    </row>
    <row r="209" ht="22.5" customHeight="1">
      <c r="A209" s="78">
        <f>IF($V209="","",INDEX($R$2:$R$401,$V209))</f>
        <v/>
      </c>
      <c r="B209" s="2">
        <f>IF($V209="","",INDEX(DIAS_SEMANA,WEEKDAY(INDEX($R$2:$R$401,$V209),2)))</f>
        <v/>
      </c>
      <c r="C209" s="2">
        <f>IF($V209="","","Tema "&amp;INDEX($P$2:$P$401,$V209))</f>
        <v/>
      </c>
      <c r="D209" s="69">
        <f>IF($V209="","",INDEX($Q$2:$Q$401,$V209))</f>
        <v/>
      </c>
      <c r="E209" s="2">
        <f>IF($V209="","",IF(INDEX($S$2:$S$401,$V209)&lt;&gt;"",INDEX($S$2:$S$401,$V209),IF(INDEX($R$2:$R$401,$V209)&lt;$B$2,"Vencida",IF(INDEX($R$2:$R$401,$V209)=$B$2,"Hoy","Programada"))))</f>
        <v/>
      </c>
      <c r="P209" s="26" t="n">
        <v>21</v>
      </c>
      <c r="Q209" s="26" t="n">
        <v>8</v>
      </c>
      <c r="R209" s="26">
        <f>INDEX(Progreso!$AZ$2:$BI$41,$P209,$Q209)</f>
        <v/>
      </c>
      <c r="S209" s="18">
        <f>IF(INDEX(Progreso!$AB$2:$AK$41,$P209,$Q209)=0,"",INDEX(Progreso!$AB$2:$AK$41,$P209,$Q209))</f>
        <v/>
      </c>
      <c r="T209" s="26">
        <f>IF($R209=0,"",COUNTIFS($R$2:$R$401,"&gt;0",$R$2:$R$401,"&lt;"&amp;$R209)+COUNTIFS($R$2:R209,"="&amp;$R209))</f>
        <v/>
      </c>
      <c r="V209" s="26">
        <f>IFERROR(MATCH(ROW()-ROW($V$12),$T$2:$T$401,0),"")</f>
        <v/>
      </c>
    </row>
    <row r="210" ht="22.5" customHeight="1">
      <c r="A210" s="85">
        <f>IF($V210="","",INDEX($R$2:$R$401,$V210))</f>
        <v/>
      </c>
      <c r="B210" s="4">
        <f>IF($V210="","",INDEX(DIAS_SEMANA,WEEKDAY(INDEX($R$2:$R$401,$V210),2)))</f>
        <v/>
      </c>
      <c r="C210" s="4">
        <f>IF($V210="","","Tema "&amp;INDEX($P$2:$P$401,$V210))</f>
        <v/>
      </c>
      <c r="D210" s="70">
        <f>IF($V210="","",INDEX($Q$2:$Q$401,$V210))</f>
        <v/>
      </c>
      <c r="E210" s="4">
        <f>IF($V210="","",IF(INDEX($S$2:$S$401,$V210)&lt;&gt;"",INDEX($S$2:$S$401,$V210),IF(INDEX($R$2:$R$401,$V210)&lt;$B$2,"Vencida",IF(INDEX($R$2:$R$401,$V210)=$B$2,"Hoy","Programada"))))</f>
        <v/>
      </c>
      <c r="P210" s="26" t="n">
        <v>21</v>
      </c>
      <c r="Q210" s="26" t="n">
        <v>9</v>
      </c>
      <c r="R210" s="26">
        <f>INDEX(Progreso!$AZ$2:$BI$41,$P210,$Q210)</f>
        <v/>
      </c>
      <c r="S210" s="18">
        <f>IF(INDEX(Progreso!$AB$2:$AK$41,$P210,$Q210)=0,"",INDEX(Progreso!$AB$2:$AK$41,$P210,$Q210))</f>
        <v/>
      </c>
      <c r="T210" s="26">
        <f>IF($R210=0,"",COUNTIFS($R$2:$R$401,"&gt;0",$R$2:$R$401,"&lt;"&amp;$R210)+COUNTIFS($R$2:R210,"="&amp;$R210))</f>
        <v/>
      </c>
      <c r="V210" s="26">
        <f>IFERROR(MATCH(ROW()-ROW($V$12),$T$2:$T$401,0),"")</f>
        <v/>
      </c>
    </row>
    <row r="211" ht="22.5" customHeight="1">
      <c r="A211" s="78">
        <f>IF($V211="","",INDEX($R$2:$R$401,$V211))</f>
        <v/>
      </c>
      <c r="B211" s="2">
        <f>IF($V211="","",INDEX(DIAS_SEMANA,WEEKDAY(INDEX($R$2:$R$401,$V211),2)))</f>
        <v/>
      </c>
      <c r="C211" s="2">
        <f>IF($V211="","","Tema "&amp;INDEX($P$2:$P$401,$V211))</f>
        <v/>
      </c>
      <c r="D211" s="69">
        <f>IF($V211="","",INDEX($Q$2:$Q$401,$V211))</f>
        <v/>
      </c>
      <c r="E211" s="2">
        <f>IF($V211="","",IF(INDEX($S$2:$S$401,$V211)&lt;&gt;"",INDEX($S$2:$S$401,$V211),IF(INDEX($R$2:$R$401,$V211)&lt;$B$2,"Vencida",IF(INDEX($R$2:$R$401,$V211)=$B$2,"Hoy","Programada"))))</f>
        <v/>
      </c>
      <c r="P211" s="26" t="n">
        <v>21</v>
      </c>
      <c r="Q211" s="26" t="n">
        <v>10</v>
      </c>
      <c r="R211" s="26">
        <f>INDEX(Progreso!$AZ$2:$BI$41,$P211,$Q211)</f>
        <v/>
      </c>
      <c r="S211" s="18">
        <f>IF(INDEX(Progreso!$AB$2:$AK$41,$P211,$Q211)=0,"",INDEX(Progreso!$AB$2:$AK$41,$P211,$Q211))</f>
        <v/>
      </c>
      <c r="T211" s="26">
        <f>IF($R211=0,"",COUNTIFS($R$2:$R$401,"&gt;0",$R$2:$R$401,"&lt;"&amp;$R211)+COUNTIFS($R$2:R211,"="&amp;$R211))</f>
        <v/>
      </c>
      <c r="V211" s="26">
        <f>IFERROR(MATCH(ROW()-ROW($V$12),$T$2:$T$401,0),"")</f>
        <v/>
      </c>
    </row>
    <row r="212" ht="22.5" customHeight="1">
      <c r="A212" s="85">
        <f>IF($V212="","",INDEX($R$2:$R$401,$V212))</f>
        <v/>
      </c>
      <c r="B212" s="4">
        <f>IF($V212="","",INDEX(DIAS_SEMANA,WEEKDAY(INDEX($R$2:$R$401,$V212),2)))</f>
        <v/>
      </c>
      <c r="C212" s="4">
        <f>IF($V212="","","Tema "&amp;INDEX($P$2:$P$401,$V212))</f>
        <v/>
      </c>
      <c r="D212" s="70">
        <f>IF($V212="","",INDEX($Q$2:$Q$401,$V212))</f>
        <v/>
      </c>
      <c r="E212" s="4">
        <f>IF($V212="","",IF(INDEX($S$2:$S$401,$V212)&lt;&gt;"",INDEX($S$2:$S$401,$V212),IF(INDEX($R$2:$R$401,$V212)&lt;$B$2,"Vencida",IF(INDEX($R$2:$R$401,$V212)=$B$2,"Hoy","Programada"))))</f>
        <v/>
      </c>
      <c r="P212" s="26" t="n">
        <v>22</v>
      </c>
      <c r="Q212" s="26" t="n">
        <v>1</v>
      </c>
      <c r="R212" s="26">
        <f>INDEX(Progreso!$AZ$2:$BI$41,$P212,$Q212)</f>
        <v/>
      </c>
      <c r="S212" s="18">
        <f>IF(INDEX(Progreso!$AB$2:$AK$41,$P212,$Q212)=0,"",INDEX(Progreso!$AB$2:$AK$41,$P212,$Q212))</f>
        <v/>
      </c>
      <c r="T212" s="26">
        <f>IF($R212=0,"",COUNTIFS($R$2:$R$401,"&gt;0",$R$2:$R$401,"&lt;"&amp;$R212)+COUNTIFS($R$2:R212,"="&amp;$R212))</f>
        <v/>
      </c>
      <c r="V212" s="26">
        <f>IFERROR(MATCH(ROW()-ROW($V$12),$T$2:$T$401,0),"")</f>
        <v/>
      </c>
    </row>
    <row r="213" ht="22.5" customHeight="1">
      <c r="A213" s="78">
        <f>IF($V213="","",INDEX($R$2:$R$401,$V213))</f>
        <v/>
      </c>
      <c r="B213" s="2">
        <f>IF($V213="","",INDEX(DIAS_SEMANA,WEEKDAY(INDEX($R$2:$R$401,$V213),2)))</f>
        <v/>
      </c>
      <c r="C213" s="2">
        <f>IF($V213="","","Tema "&amp;INDEX($P$2:$P$401,$V213))</f>
        <v/>
      </c>
      <c r="D213" s="69">
        <f>IF($V213="","",INDEX($Q$2:$Q$401,$V213))</f>
        <v/>
      </c>
      <c r="E213" s="2">
        <f>IF($V213="","",IF(INDEX($S$2:$S$401,$V213)&lt;&gt;"",INDEX($S$2:$S$401,$V213),IF(INDEX($R$2:$R$401,$V213)&lt;$B$2,"Vencida",IF(INDEX($R$2:$R$401,$V213)=$B$2,"Hoy","Programada"))))</f>
        <v/>
      </c>
      <c r="P213" s="26" t="n">
        <v>22</v>
      </c>
      <c r="Q213" s="26" t="n">
        <v>2</v>
      </c>
      <c r="R213" s="26">
        <f>INDEX(Progreso!$AZ$2:$BI$41,$P213,$Q213)</f>
        <v/>
      </c>
      <c r="S213" s="18">
        <f>IF(INDEX(Progreso!$AB$2:$AK$41,$P213,$Q213)=0,"",INDEX(Progreso!$AB$2:$AK$41,$P213,$Q213))</f>
        <v/>
      </c>
      <c r="T213" s="26">
        <f>IF($R213=0,"",COUNTIFS($R$2:$R$401,"&gt;0",$R$2:$R$401,"&lt;"&amp;$R213)+COUNTIFS($R$2:R213,"="&amp;$R213))</f>
        <v/>
      </c>
      <c r="V213" s="26">
        <f>IFERROR(MATCH(ROW()-ROW($V$12),$T$2:$T$401,0),"")</f>
        <v/>
      </c>
    </row>
    <row r="214" ht="22.5" customHeight="1">
      <c r="A214" s="85">
        <f>IF($V214="","",INDEX($R$2:$R$401,$V214))</f>
        <v/>
      </c>
      <c r="B214" s="4">
        <f>IF($V214="","",INDEX(DIAS_SEMANA,WEEKDAY(INDEX($R$2:$R$401,$V214),2)))</f>
        <v/>
      </c>
      <c r="C214" s="4">
        <f>IF($V214="","","Tema "&amp;INDEX($P$2:$P$401,$V214))</f>
        <v/>
      </c>
      <c r="D214" s="70">
        <f>IF($V214="","",INDEX($Q$2:$Q$401,$V214))</f>
        <v/>
      </c>
      <c r="E214" s="4">
        <f>IF($V214="","",IF(INDEX($S$2:$S$401,$V214)&lt;&gt;"",INDEX($S$2:$S$401,$V214),IF(INDEX($R$2:$R$401,$V214)&lt;$B$2,"Vencida",IF(INDEX($R$2:$R$401,$V214)=$B$2,"Hoy","Programada"))))</f>
        <v/>
      </c>
      <c r="P214" s="26" t="n">
        <v>22</v>
      </c>
      <c r="Q214" s="26" t="n">
        <v>3</v>
      </c>
      <c r="R214" s="26">
        <f>INDEX(Progreso!$AZ$2:$BI$41,$P214,$Q214)</f>
        <v/>
      </c>
      <c r="S214" s="18">
        <f>IF(INDEX(Progreso!$AB$2:$AK$41,$P214,$Q214)=0,"",INDEX(Progreso!$AB$2:$AK$41,$P214,$Q214))</f>
        <v/>
      </c>
      <c r="T214" s="26">
        <f>IF($R214=0,"",COUNTIFS($R$2:$R$401,"&gt;0",$R$2:$R$401,"&lt;"&amp;$R214)+COUNTIFS($R$2:R214,"="&amp;$R214))</f>
        <v/>
      </c>
      <c r="V214" s="26">
        <f>IFERROR(MATCH(ROW()-ROW($V$12),$T$2:$T$401,0),"")</f>
        <v/>
      </c>
    </row>
    <row r="215" ht="22.5" customHeight="1">
      <c r="A215" s="78">
        <f>IF($V215="","",INDEX($R$2:$R$401,$V215))</f>
        <v/>
      </c>
      <c r="B215" s="2">
        <f>IF($V215="","",INDEX(DIAS_SEMANA,WEEKDAY(INDEX($R$2:$R$401,$V215),2)))</f>
        <v/>
      </c>
      <c r="C215" s="2">
        <f>IF($V215="","","Tema "&amp;INDEX($P$2:$P$401,$V215))</f>
        <v/>
      </c>
      <c r="D215" s="69">
        <f>IF($V215="","",INDEX($Q$2:$Q$401,$V215))</f>
        <v/>
      </c>
      <c r="E215" s="2">
        <f>IF($V215="","",IF(INDEX($S$2:$S$401,$V215)&lt;&gt;"",INDEX($S$2:$S$401,$V215),IF(INDEX($R$2:$R$401,$V215)&lt;$B$2,"Vencida",IF(INDEX($R$2:$R$401,$V215)=$B$2,"Hoy","Programada"))))</f>
        <v/>
      </c>
      <c r="P215" s="26" t="n">
        <v>22</v>
      </c>
      <c r="Q215" s="26" t="n">
        <v>4</v>
      </c>
      <c r="R215" s="26">
        <f>INDEX(Progreso!$AZ$2:$BI$41,$P215,$Q215)</f>
        <v/>
      </c>
      <c r="S215" s="18">
        <f>IF(INDEX(Progreso!$AB$2:$AK$41,$P215,$Q215)=0,"",INDEX(Progreso!$AB$2:$AK$41,$P215,$Q215))</f>
        <v/>
      </c>
      <c r="T215" s="26">
        <f>IF($R215=0,"",COUNTIFS($R$2:$R$401,"&gt;0",$R$2:$R$401,"&lt;"&amp;$R215)+COUNTIFS($R$2:R215,"="&amp;$R215))</f>
        <v/>
      </c>
      <c r="V215" s="26">
        <f>IFERROR(MATCH(ROW()-ROW($V$12),$T$2:$T$401,0),"")</f>
        <v/>
      </c>
    </row>
    <row r="216" ht="22.5" customHeight="1">
      <c r="A216" s="85">
        <f>IF($V216="","",INDEX($R$2:$R$401,$V216))</f>
        <v/>
      </c>
      <c r="B216" s="4">
        <f>IF($V216="","",INDEX(DIAS_SEMANA,WEEKDAY(INDEX($R$2:$R$401,$V216),2)))</f>
        <v/>
      </c>
      <c r="C216" s="4">
        <f>IF($V216="","","Tema "&amp;INDEX($P$2:$P$401,$V216))</f>
        <v/>
      </c>
      <c r="D216" s="70">
        <f>IF($V216="","",INDEX($Q$2:$Q$401,$V216))</f>
        <v/>
      </c>
      <c r="E216" s="4">
        <f>IF($V216="","",IF(INDEX($S$2:$S$401,$V216)&lt;&gt;"",INDEX($S$2:$S$401,$V216),IF(INDEX($R$2:$R$401,$V216)&lt;$B$2,"Vencida",IF(INDEX($R$2:$R$401,$V216)=$B$2,"Hoy","Programada"))))</f>
        <v/>
      </c>
      <c r="P216" s="26" t="n">
        <v>22</v>
      </c>
      <c r="Q216" s="26" t="n">
        <v>5</v>
      </c>
      <c r="R216" s="26">
        <f>INDEX(Progreso!$AZ$2:$BI$41,$P216,$Q216)</f>
        <v/>
      </c>
      <c r="S216" s="18">
        <f>IF(INDEX(Progreso!$AB$2:$AK$41,$P216,$Q216)=0,"",INDEX(Progreso!$AB$2:$AK$41,$P216,$Q216))</f>
        <v/>
      </c>
      <c r="T216" s="26">
        <f>IF($R216=0,"",COUNTIFS($R$2:$R$401,"&gt;0",$R$2:$R$401,"&lt;"&amp;$R216)+COUNTIFS($R$2:R216,"="&amp;$R216))</f>
        <v/>
      </c>
      <c r="V216" s="26">
        <f>IFERROR(MATCH(ROW()-ROW($V$12),$T$2:$T$401,0),"")</f>
        <v/>
      </c>
    </row>
    <row r="217" ht="22.5" customHeight="1">
      <c r="A217" s="78">
        <f>IF($V217="","",INDEX($R$2:$R$401,$V217))</f>
        <v/>
      </c>
      <c r="B217" s="2">
        <f>IF($V217="","",INDEX(DIAS_SEMANA,WEEKDAY(INDEX($R$2:$R$401,$V217),2)))</f>
        <v/>
      </c>
      <c r="C217" s="2">
        <f>IF($V217="","","Tema "&amp;INDEX($P$2:$P$401,$V217))</f>
        <v/>
      </c>
      <c r="D217" s="69">
        <f>IF($V217="","",INDEX($Q$2:$Q$401,$V217))</f>
        <v/>
      </c>
      <c r="E217" s="2">
        <f>IF($V217="","",IF(INDEX($S$2:$S$401,$V217)&lt;&gt;"",INDEX($S$2:$S$401,$V217),IF(INDEX($R$2:$R$401,$V217)&lt;$B$2,"Vencida",IF(INDEX($R$2:$R$401,$V217)=$B$2,"Hoy","Programada"))))</f>
        <v/>
      </c>
      <c r="P217" s="26" t="n">
        <v>22</v>
      </c>
      <c r="Q217" s="26" t="n">
        <v>6</v>
      </c>
      <c r="R217" s="26">
        <f>INDEX(Progreso!$AZ$2:$BI$41,$P217,$Q217)</f>
        <v/>
      </c>
      <c r="S217" s="18">
        <f>IF(INDEX(Progreso!$AB$2:$AK$41,$P217,$Q217)=0,"",INDEX(Progreso!$AB$2:$AK$41,$P217,$Q217))</f>
        <v/>
      </c>
      <c r="T217" s="26">
        <f>IF($R217=0,"",COUNTIFS($R$2:$R$401,"&gt;0",$R$2:$R$401,"&lt;"&amp;$R217)+COUNTIFS($R$2:R217,"="&amp;$R217))</f>
        <v/>
      </c>
      <c r="V217" s="26">
        <f>IFERROR(MATCH(ROW()-ROW($V$12),$T$2:$T$401,0),"")</f>
        <v/>
      </c>
    </row>
    <row r="218" ht="22.5" customHeight="1">
      <c r="A218" s="85">
        <f>IF($V218="","",INDEX($R$2:$R$401,$V218))</f>
        <v/>
      </c>
      <c r="B218" s="4">
        <f>IF($V218="","",INDEX(DIAS_SEMANA,WEEKDAY(INDEX($R$2:$R$401,$V218),2)))</f>
        <v/>
      </c>
      <c r="C218" s="4">
        <f>IF($V218="","","Tema "&amp;INDEX($P$2:$P$401,$V218))</f>
        <v/>
      </c>
      <c r="D218" s="70">
        <f>IF($V218="","",INDEX($Q$2:$Q$401,$V218))</f>
        <v/>
      </c>
      <c r="E218" s="4">
        <f>IF($V218="","",IF(INDEX($S$2:$S$401,$V218)&lt;&gt;"",INDEX($S$2:$S$401,$V218),IF(INDEX($R$2:$R$401,$V218)&lt;$B$2,"Vencida",IF(INDEX($R$2:$R$401,$V218)=$B$2,"Hoy","Programada"))))</f>
        <v/>
      </c>
      <c r="P218" s="26" t="n">
        <v>22</v>
      </c>
      <c r="Q218" s="26" t="n">
        <v>7</v>
      </c>
      <c r="R218" s="26">
        <f>INDEX(Progreso!$AZ$2:$BI$41,$P218,$Q218)</f>
        <v/>
      </c>
      <c r="S218" s="18">
        <f>IF(INDEX(Progreso!$AB$2:$AK$41,$P218,$Q218)=0,"",INDEX(Progreso!$AB$2:$AK$41,$P218,$Q218))</f>
        <v/>
      </c>
      <c r="T218" s="26">
        <f>IF($R218=0,"",COUNTIFS($R$2:$R$401,"&gt;0",$R$2:$R$401,"&lt;"&amp;$R218)+COUNTIFS($R$2:R218,"="&amp;$R218))</f>
        <v/>
      </c>
      <c r="V218" s="26">
        <f>IFERROR(MATCH(ROW()-ROW($V$12),$T$2:$T$401,0),"")</f>
        <v/>
      </c>
    </row>
    <row r="219" ht="22.5" customHeight="1">
      <c r="A219" s="78">
        <f>IF($V219="","",INDEX($R$2:$R$401,$V219))</f>
        <v/>
      </c>
      <c r="B219" s="2">
        <f>IF($V219="","",INDEX(DIAS_SEMANA,WEEKDAY(INDEX($R$2:$R$401,$V219),2)))</f>
        <v/>
      </c>
      <c r="C219" s="2">
        <f>IF($V219="","","Tema "&amp;INDEX($P$2:$P$401,$V219))</f>
        <v/>
      </c>
      <c r="D219" s="69">
        <f>IF($V219="","",INDEX($Q$2:$Q$401,$V219))</f>
        <v/>
      </c>
      <c r="E219" s="2">
        <f>IF($V219="","",IF(INDEX($S$2:$S$401,$V219)&lt;&gt;"",INDEX($S$2:$S$401,$V219),IF(INDEX($R$2:$R$401,$V219)&lt;$B$2,"Vencida",IF(INDEX($R$2:$R$401,$V219)=$B$2,"Hoy","Programada"))))</f>
        <v/>
      </c>
      <c r="P219" s="26" t="n">
        <v>22</v>
      </c>
      <c r="Q219" s="26" t="n">
        <v>8</v>
      </c>
      <c r="R219" s="26">
        <f>INDEX(Progreso!$AZ$2:$BI$41,$P219,$Q219)</f>
        <v/>
      </c>
      <c r="S219" s="18">
        <f>IF(INDEX(Progreso!$AB$2:$AK$41,$P219,$Q219)=0,"",INDEX(Progreso!$AB$2:$AK$41,$P219,$Q219))</f>
        <v/>
      </c>
      <c r="T219" s="26">
        <f>IF($R219=0,"",COUNTIFS($R$2:$R$401,"&gt;0",$R$2:$R$401,"&lt;"&amp;$R219)+COUNTIFS($R$2:R219,"="&amp;$R219))</f>
        <v/>
      </c>
      <c r="V219" s="26">
        <f>IFERROR(MATCH(ROW()-ROW($V$12),$T$2:$T$401,0),"")</f>
        <v/>
      </c>
    </row>
    <row r="220" ht="22.5" customHeight="1">
      <c r="A220" s="85">
        <f>IF($V220="","",INDEX($R$2:$R$401,$V220))</f>
        <v/>
      </c>
      <c r="B220" s="4">
        <f>IF($V220="","",INDEX(DIAS_SEMANA,WEEKDAY(INDEX($R$2:$R$401,$V220),2)))</f>
        <v/>
      </c>
      <c r="C220" s="4">
        <f>IF($V220="","","Tema "&amp;INDEX($P$2:$P$401,$V220))</f>
        <v/>
      </c>
      <c r="D220" s="70">
        <f>IF($V220="","",INDEX($Q$2:$Q$401,$V220))</f>
        <v/>
      </c>
      <c r="E220" s="4">
        <f>IF($V220="","",IF(INDEX($S$2:$S$401,$V220)&lt;&gt;"",INDEX($S$2:$S$401,$V220),IF(INDEX($R$2:$R$401,$V220)&lt;$B$2,"Vencida",IF(INDEX($R$2:$R$401,$V220)=$B$2,"Hoy","Programada"))))</f>
        <v/>
      </c>
      <c r="P220" s="26" t="n">
        <v>22</v>
      </c>
      <c r="Q220" s="26" t="n">
        <v>9</v>
      </c>
      <c r="R220" s="26">
        <f>INDEX(Progreso!$AZ$2:$BI$41,$P220,$Q220)</f>
        <v/>
      </c>
      <c r="S220" s="18">
        <f>IF(INDEX(Progreso!$AB$2:$AK$41,$P220,$Q220)=0,"",INDEX(Progreso!$AB$2:$AK$41,$P220,$Q220))</f>
        <v/>
      </c>
      <c r="T220" s="26">
        <f>IF($R220=0,"",COUNTIFS($R$2:$R$401,"&gt;0",$R$2:$R$401,"&lt;"&amp;$R220)+COUNTIFS($R$2:R220,"="&amp;$R220))</f>
        <v/>
      </c>
      <c r="V220" s="26">
        <f>IFERROR(MATCH(ROW()-ROW($V$12),$T$2:$T$401,0),"")</f>
        <v/>
      </c>
    </row>
    <row r="221" ht="22.5" customHeight="1">
      <c r="A221" s="78">
        <f>IF($V221="","",INDEX($R$2:$R$401,$V221))</f>
        <v/>
      </c>
      <c r="B221" s="2">
        <f>IF($V221="","",INDEX(DIAS_SEMANA,WEEKDAY(INDEX($R$2:$R$401,$V221),2)))</f>
        <v/>
      </c>
      <c r="C221" s="2">
        <f>IF($V221="","","Tema "&amp;INDEX($P$2:$P$401,$V221))</f>
        <v/>
      </c>
      <c r="D221" s="69">
        <f>IF($V221="","",INDEX($Q$2:$Q$401,$V221))</f>
        <v/>
      </c>
      <c r="E221" s="2">
        <f>IF($V221="","",IF(INDEX($S$2:$S$401,$V221)&lt;&gt;"",INDEX($S$2:$S$401,$V221),IF(INDEX($R$2:$R$401,$V221)&lt;$B$2,"Vencida",IF(INDEX($R$2:$R$401,$V221)=$B$2,"Hoy","Programada"))))</f>
        <v/>
      </c>
      <c r="P221" s="26" t="n">
        <v>22</v>
      </c>
      <c r="Q221" s="26" t="n">
        <v>10</v>
      </c>
      <c r="R221" s="26">
        <f>INDEX(Progreso!$AZ$2:$BI$41,$P221,$Q221)</f>
        <v/>
      </c>
      <c r="S221" s="18">
        <f>IF(INDEX(Progreso!$AB$2:$AK$41,$P221,$Q221)=0,"",INDEX(Progreso!$AB$2:$AK$41,$P221,$Q221))</f>
        <v/>
      </c>
      <c r="T221" s="26">
        <f>IF($R221=0,"",COUNTIFS($R$2:$R$401,"&gt;0",$R$2:$R$401,"&lt;"&amp;$R221)+COUNTIFS($R$2:R221,"="&amp;$R221))</f>
        <v/>
      </c>
      <c r="V221" s="26">
        <f>IFERROR(MATCH(ROW()-ROW($V$12),$T$2:$T$401,0),"")</f>
        <v/>
      </c>
    </row>
    <row r="222" ht="22.5" customHeight="1">
      <c r="A222" s="85">
        <f>IF($V222="","",INDEX($R$2:$R$401,$V222))</f>
        <v/>
      </c>
      <c r="B222" s="4">
        <f>IF($V222="","",INDEX(DIAS_SEMANA,WEEKDAY(INDEX($R$2:$R$401,$V222),2)))</f>
        <v/>
      </c>
      <c r="C222" s="4">
        <f>IF($V222="","","Tema "&amp;INDEX($P$2:$P$401,$V222))</f>
        <v/>
      </c>
      <c r="D222" s="70">
        <f>IF($V222="","",INDEX($Q$2:$Q$401,$V222))</f>
        <v/>
      </c>
      <c r="E222" s="4">
        <f>IF($V222="","",IF(INDEX($S$2:$S$401,$V222)&lt;&gt;"",INDEX($S$2:$S$401,$V222),IF(INDEX($R$2:$R$401,$V222)&lt;$B$2,"Vencida",IF(INDEX($R$2:$R$401,$V222)=$B$2,"Hoy","Programada"))))</f>
        <v/>
      </c>
      <c r="P222" s="26" t="n">
        <v>23</v>
      </c>
      <c r="Q222" s="26" t="n">
        <v>1</v>
      </c>
      <c r="R222" s="26">
        <f>INDEX(Progreso!$AZ$2:$BI$41,$P222,$Q222)</f>
        <v/>
      </c>
      <c r="S222" s="18">
        <f>IF(INDEX(Progreso!$AB$2:$AK$41,$P222,$Q222)=0,"",INDEX(Progreso!$AB$2:$AK$41,$P222,$Q222))</f>
        <v/>
      </c>
      <c r="T222" s="26">
        <f>IF($R222=0,"",COUNTIFS($R$2:$R$401,"&gt;0",$R$2:$R$401,"&lt;"&amp;$R222)+COUNTIFS($R$2:R222,"="&amp;$R222))</f>
        <v/>
      </c>
      <c r="V222" s="26">
        <f>IFERROR(MATCH(ROW()-ROW($V$12),$T$2:$T$401,0),"")</f>
        <v/>
      </c>
    </row>
    <row r="223" ht="22.5" customHeight="1">
      <c r="A223" s="78">
        <f>IF($V223="","",INDEX($R$2:$R$401,$V223))</f>
        <v/>
      </c>
      <c r="B223" s="2">
        <f>IF($V223="","",INDEX(DIAS_SEMANA,WEEKDAY(INDEX($R$2:$R$401,$V223),2)))</f>
        <v/>
      </c>
      <c r="C223" s="2">
        <f>IF($V223="","","Tema "&amp;INDEX($P$2:$P$401,$V223))</f>
        <v/>
      </c>
      <c r="D223" s="69">
        <f>IF($V223="","",INDEX($Q$2:$Q$401,$V223))</f>
        <v/>
      </c>
      <c r="E223" s="2">
        <f>IF($V223="","",IF(INDEX($S$2:$S$401,$V223)&lt;&gt;"",INDEX($S$2:$S$401,$V223),IF(INDEX($R$2:$R$401,$V223)&lt;$B$2,"Vencida",IF(INDEX($R$2:$R$401,$V223)=$B$2,"Hoy","Programada"))))</f>
        <v/>
      </c>
      <c r="P223" s="26" t="n">
        <v>23</v>
      </c>
      <c r="Q223" s="26" t="n">
        <v>2</v>
      </c>
      <c r="R223" s="26">
        <f>INDEX(Progreso!$AZ$2:$BI$41,$P223,$Q223)</f>
        <v/>
      </c>
      <c r="S223" s="18">
        <f>IF(INDEX(Progreso!$AB$2:$AK$41,$P223,$Q223)=0,"",INDEX(Progreso!$AB$2:$AK$41,$P223,$Q223))</f>
        <v/>
      </c>
      <c r="T223" s="26">
        <f>IF($R223=0,"",COUNTIFS($R$2:$R$401,"&gt;0",$R$2:$R$401,"&lt;"&amp;$R223)+COUNTIFS($R$2:R223,"="&amp;$R223))</f>
        <v/>
      </c>
      <c r="V223" s="26">
        <f>IFERROR(MATCH(ROW()-ROW($V$12),$T$2:$T$401,0),"")</f>
        <v/>
      </c>
    </row>
    <row r="224" ht="22.5" customHeight="1">
      <c r="A224" s="85">
        <f>IF($V224="","",INDEX($R$2:$R$401,$V224))</f>
        <v/>
      </c>
      <c r="B224" s="4">
        <f>IF($V224="","",INDEX(DIAS_SEMANA,WEEKDAY(INDEX($R$2:$R$401,$V224),2)))</f>
        <v/>
      </c>
      <c r="C224" s="4">
        <f>IF($V224="","","Tema "&amp;INDEX($P$2:$P$401,$V224))</f>
        <v/>
      </c>
      <c r="D224" s="70">
        <f>IF($V224="","",INDEX($Q$2:$Q$401,$V224))</f>
        <v/>
      </c>
      <c r="E224" s="4">
        <f>IF($V224="","",IF(INDEX($S$2:$S$401,$V224)&lt;&gt;"",INDEX($S$2:$S$401,$V224),IF(INDEX($R$2:$R$401,$V224)&lt;$B$2,"Vencida",IF(INDEX($R$2:$R$401,$V224)=$B$2,"Hoy","Programada"))))</f>
        <v/>
      </c>
      <c r="P224" s="26" t="n">
        <v>23</v>
      </c>
      <c r="Q224" s="26" t="n">
        <v>3</v>
      </c>
      <c r="R224" s="26">
        <f>INDEX(Progreso!$AZ$2:$BI$41,$P224,$Q224)</f>
        <v/>
      </c>
      <c r="S224" s="18">
        <f>IF(INDEX(Progreso!$AB$2:$AK$41,$P224,$Q224)=0,"",INDEX(Progreso!$AB$2:$AK$41,$P224,$Q224))</f>
        <v/>
      </c>
      <c r="T224" s="26">
        <f>IF($R224=0,"",COUNTIFS($R$2:$R$401,"&gt;0",$R$2:$R$401,"&lt;"&amp;$R224)+COUNTIFS($R$2:R224,"="&amp;$R224))</f>
        <v/>
      </c>
      <c r="V224" s="26">
        <f>IFERROR(MATCH(ROW()-ROW($V$12),$T$2:$T$401,0),"")</f>
        <v/>
      </c>
    </row>
    <row r="225" ht="22.5" customHeight="1">
      <c r="A225" s="78">
        <f>IF($V225="","",INDEX($R$2:$R$401,$V225))</f>
        <v/>
      </c>
      <c r="B225" s="2">
        <f>IF($V225="","",INDEX(DIAS_SEMANA,WEEKDAY(INDEX($R$2:$R$401,$V225),2)))</f>
        <v/>
      </c>
      <c r="C225" s="2">
        <f>IF($V225="","","Tema "&amp;INDEX($P$2:$P$401,$V225))</f>
        <v/>
      </c>
      <c r="D225" s="69">
        <f>IF($V225="","",INDEX($Q$2:$Q$401,$V225))</f>
        <v/>
      </c>
      <c r="E225" s="2">
        <f>IF($V225="","",IF(INDEX($S$2:$S$401,$V225)&lt;&gt;"",INDEX($S$2:$S$401,$V225),IF(INDEX($R$2:$R$401,$V225)&lt;$B$2,"Vencida",IF(INDEX($R$2:$R$401,$V225)=$B$2,"Hoy","Programada"))))</f>
        <v/>
      </c>
      <c r="P225" s="26" t="n">
        <v>23</v>
      </c>
      <c r="Q225" s="26" t="n">
        <v>4</v>
      </c>
      <c r="R225" s="26">
        <f>INDEX(Progreso!$AZ$2:$BI$41,$P225,$Q225)</f>
        <v/>
      </c>
      <c r="S225" s="18">
        <f>IF(INDEX(Progreso!$AB$2:$AK$41,$P225,$Q225)=0,"",INDEX(Progreso!$AB$2:$AK$41,$P225,$Q225))</f>
        <v/>
      </c>
      <c r="T225" s="26">
        <f>IF($R225=0,"",COUNTIFS($R$2:$R$401,"&gt;0",$R$2:$R$401,"&lt;"&amp;$R225)+COUNTIFS($R$2:R225,"="&amp;$R225))</f>
        <v/>
      </c>
      <c r="V225" s="26">
        <f>IFERROR(MATCH(ROW()-ROW($V$12),$T$2:$T$401,0),"")</f>
        <v/>
      </c>
    </row>
    <row r="226" ht="22.5" customHeight="1">
      <c r="A226" s="85">
        <f>IF($V226="","",INDEX($R$2:$R$401,$V226))</f>
        <v/>
      </c>
      <c r="B226" s="4">
        <f>IF($V226="","",INDEX(DIAS_SEMANA,WEEKDAY(INDEX($R$2:$R$401,$V226),2)))</f>
        <v/>
      </c>
      <c r="C226" s="4">
        <f>IF($V226="","","Tema "&amp;INDEX($P$2:$P$401,$V226))</f>
        <v/>
      </c>
      <c r="D226" s="70">
        <f>IF($V226="","",INDEX($Q$2:$Q$401,$V226))</f>
        <v/>
      </c>
      <c r="E226" s="4">
        <f>IF($V226="","",IF(INDEX($S$2:$S$401,$V226)&lt;&gt;"",INDEX($S$2:$S$401,$V226),IF(INDEX($R$2:$R$401,$V226)&lt;$B$2,"Vencida",IF(INDEX($R$2:$R$401,$V226)=$B$2,"Hoy","Programada"))))</f>
        <v/>
      </c>
      <c r="P226" s="26" t="n">
        <v>23</v>
      </c>
      <c r="Q226" s="26" t="n">
        <v>5</v>
      </c>
      <c r="R226" s="26">
        <f>INDEX(Progreso!$AZ$2:$BI$41,$P226,$Q226)</f>
        <v/>
      </c>
      <c r="S226" s="18">
        <f>IF(INDEX(Progreso!$AB$2:$AK$41,$P226,$Q226)=0,"",INDEX(Progreso!$AB$2:$AK$41,$P226,$Q226))</f>
        <v/>
      </c>
      <c r="T226" s="26">
        <f>IF($R226=0,"",COUNTIFS($R$2:$R$401,"&gt;0",$R$2:$R$401,"&lt;"&amp;$R226)+COUNTIFS($R$2:R226,"="&amp;$R226))</f>
        <v/>
      </c>
      <c r="V226" s="26">
        <f>IFERROR(MATCH(ROW()-ROW($V$12),$T$2:$T$401,0),"")</f>
        <v/>
      </c>
    </row>
    <row r="227" ht="22.5" customHeight="1">
      <c r="A227" s="78">
        <f>IF($V227="","",INDEX($R$2:$R$401,$V227))</f>
        <v/>
      </c>
      <c r="B227" s="2">
        <f>IF($V227="","",INDEX(DIAS_SEMANA,WEEKDAY(INDEX($R$2:$R$401,$V227),2)))</f>
        <v/>
      </c>
      <c r="C227" s="2">
        <f>IF($V227="","","Tema "&amp;INDEX($P$2:$P$401,$V227))</f>
        <v/>
      </c>
      <c r="D227" s="69">
        <f>IF($V227="","",INDEX($Q$2:$Q$401,$V227))</f>
        <v/>
      </c>
      <c r="E227" s="2">
        <f>IF($V227="","",IF(INDEX($S$2:$S$401,$V227)&lt;&gt;"",INDEX($S$2:$S$401,$V227),IF(INDEX($R$2:$R$401,$V227)&lt;$B$2,"Vencida",IF(INDEX($R$2:$R$401,$V227)=$B$2,"Hoy","Programada"))))</f>
        <v/>
      </c>
      <c r="P227" s="26" t="n">
        <v>23</v>
      </c>
      <c r="Q227" s="26" t="n">
        <v>6</v>
      </c>
      <c r="R227" s="26">
        <f>INDEX(Progreso!$AZ$2:$BI$41,$P227,$Q227)</f>
        <v/>
      </c>
      <c r="S227" s="18">
        <f>IF(INDEX(Progreso!$AB$2:$AK$41,$P227,$Q227)=0,"",INDEX(Progreso!$AB$2:$AK$41,$P227,$Q227))</f>
        <v/>
      </c>
      <c r="T227" s="26">
        <f>IF($R227=0,"",COUNTIFS($R$2:$R$401,"&gt;0",$R$2:$R$401,"&lt;"&amp;$R227)+COUNTIFS($R$2:R227,"="&amp;$R227))</f>
        <v/>
      </c>
      <c r="V227" s="26">
        <f>IFERROR(MATCH(ROW()-ROW($V$12),$T$2:$T$401,0),"")</f>
        <v/>
      </c>
    </row>
    <row r="228" ht="22.5" customHeight="1">
      <c r="A228" s="85">
        <f>IF($V228="","",INDEX($R$2:$R$401,$V228))</f>
        <v/>
      </c>
      <c r="B228" s="4">
        <f>IF($V228="","",INDEX(DIAS_SEMANA,WEEKDAY(INDEX($R$2:$R$401,$V228),2)))</f>
        <v/>
      </c>
      <c r="C228" s="4">
        <f>IF($V228="","","Tema "&amp;INDEX($P$2:$P$401,$V228))</f>
        <v/>
      </c>
      <c r="D228" s="70">
        <f>IF($V228="","",INDEX($Q$2:$Q$401,$V228))</f>
        <v/>
      </c>
      <c r="E228" s="4">
        <f>IF($V228="","",IF(INDEX($S$2:$S$401,$V228)&lt;&gt;"",INDEX($S$2:$S$401,$V228),IF(INDEX($R$2:$R$401,$V228)&lt;$B$2,"Vencida",IF(INDEX($R$2:$R$401,$V228)=$B$2,"Hoy","Programada"))))</f>
        <v/>
      </c>
      <c r="P228" s="26" t="n">
        <v>23</v>
      </c>
      <c r="Q228" s="26" t="n">
        <v>7</v>
      </c>
      <c r="R228" s="26">
        <f>INDEX(Progreso!$AZ$2:$BI$41,$P228,$Q228)</f>
        <v/>
      </c>
      <c r="S228" s="18">
        <f>IF(INDEX(Progreso!$AB$2:$AK$41,$P228,$Q228)=0,"",INDEX(Progreso!$AB$2:$AK$41,$P228,$Q228))</f>
        <v/>
      </c>
      <c r="T228" s="26">
        <f>IF($R228=0,"",COUNTIFS($R$2:$R$401,"&gt;0",$R$2:$R$401,"&lt;"&amp;$R228)+COUNTIFS($R$2:R228,"="&amp;$R228))</f>
        <v/>
      </c>
      <c r="V228" s="26">
        <f>IFERROR(MATCH(ROW()-ROW($V$12),$T$2:$T$401,0),"")</f>
        <v/>
      </c>
    </row>
    <row r="229" ht="22.5" customHeight="1">
      <c r="A229" s="78">
        <f>IF($V229="","",INDEX($R$2:$R$401,$V229))</f>
        <v/>
      </c>
      <c r="B229" s="2">
        <f>IF($V229="","",INDEX(DIAS_SEMANA,WEEKDAY(INDEX($R$2:$R$401,$V229),2)))</f>
        <v/>
      </c>
      <c r="C229" s="2">
        <f>IF($V229="","","Tema "&amp;INDEX($P$2:$P$401,$V229))</f>
        <v/>
      </c>
      <c r="D229" s="69">
        <f>IF($V229="","",INDEX($Q$2:$Q$401,$V229))</f>
        <v/>
      </c>
      <c r="E229" s="2">
        <f>IF($V229="","",IF(INDEX($S$2:$S$401,$V229)&lt;&gt;"",INDEX($S$2:$S$401,$V229),IF(INDEX($R$2:$R$401,$V229)&lt;$B$2,"Vencida",IF(INDEX($R$2:$R$401,$V229)=$B$2,"Hoy","Programada"))))</f>
        <v/>
      </c>
      <c r="P229" s="26" t="n">
        <v>23</v>
      </c>
      <c r="Q229" s="26" t="n">
        <v>8</v>
      </c>
      <c r="R229" s="26">
        <f>INDEX(Progreso!$AZ$2:$BI$41,$P229,$Q229)</f>
        <v/>
      </c>
      <c r="S229" s="18">
        <f>IF(INDEX(Progreso!$AB$2:$AK$41,$P229,$Q229)=0,"",INDEX(Progreso!$AB$2:$AK$41,$P229,$Q229))</f>
        <v/>
      </c>
      <c r="T229" s="26">
        <f>IF($R229=0,"",COUNTIFS($R$2:$R$401,"&gt;0",$R$2:$R$401,"&lt;"&amp;$R229)+COUNTIFS($R$2:R229,"="&amp;$R229))</f>
        <v/>
      </c>
      <c r="V229" s="26">
        <f>IFERROR(MATCH(ROW()-ROW($V$12),$T$2:$T$401,0),"")</f>
        <v/>
      </c>
    </row>
    <row r="230" ht="22.5" customHeight="1">
      <c r="A230" s="85">
        <f>IF($V230="","",INDEX($R$2:$R$401,$V230))</f>
        <v/>
      </c>
      <c r="B230" s="4">
        <f>IF($V230="","",INDEX(DIAS_SEMANA,WEEKDAY(INDEX($R$2:$R$401,$V230),2)))</f>
        <v/>
      </c>
      <c r="C230" s="4">
        <f>IF($V230="","","Tema "&amp;INDEX($P$2:$P$401,$V230))</f>
        <v/>
      </c>
      <c r="D230" s="70">
        <f>IF($V230="","",INDEX($Q$2:$Q$401,$V230))</f>
        <v/>
      </c>
      <c r="E230" s="4">
        <f>IF($V230="","",IF(INDEX($S$2:$S$401,$V230)&lt;&gt;"",INDEX($S$2:$S$401,$V230),IF(INDEX($R$2:$R$401,$V230)&lt;$B$2,"Vencida",IF(INDEX($R$2:$R$401,$V230)=$B$2,"Hoy","Programada"))))</f>
        <v/>
      </c>
      <c r="P230" s="26" t="n">
        <v>23</v>
      </c>
      <c r="Q230" s="26" t="n">
        <v>9</v>
      </c>
      <c r="R230" s="26">
        <f>INDEX(Progreso!$AZ$2:$BI$41,$P230,$Q230)</f>
        <v/>
      </c>
      <c r="S230" s="18">
        <f>IF(INDEX(Progreso!$AB$2:$AK$41,$P230,$Q230)=0,"",INDEX(Progreso!$AB$2:$AK$41,$P230,$Q230))</f>
        <v/>
      </c>
      <c r="T230" s="26">
        <f>IF($R230=0,"",COUNTIFS($R$2:$R$401,"&gt;0",$R$2:$R$401,"&lt;"&amp;$R230)+COUNTIFS($R$2:R230,"="&amp;$R230))</f>
        <v/>
      </c>
      <c r="V230" s="26">
        <f>IFERROR(MATCH(ROW()-ROW($V$12),$T$2:$T$401,0),"")</f>
        <v/>
      </c>
    </row>
    <row r="231" ht="22.5" customHeight="1">
      <c r="A231" s="78">
        <f>IF($V231="","",INDEX($R$2:$R$401,$V231))</f>
        <v/>
      </c>
      <c r="B231" s="2">
        <f>IF($V231="","",INDEX(DIAS_SEMANA,WEEKDAY(INDEX($R$2:$R$401,$V231),2)))</f>
        <v/>
      </c>
      <c r="C231" s="2">
        <f>IF($V231="","","Tema "&amp;INDEX($P$2:$P$401,$V231))</f>
        <v/>
      </c>
      <c r="D231" s="69">
        <f>IF($V231="","",INDEX($Q$2:$Q$401,$V231))</f>
        <v/>
      </c>
      <c r="E231" s="2">
        <f>IF($V231="","",IF(INDEX($S$2:$S$401,$V231)&lt;&gt;"",INDEX($S$2:$S$401,$V231),IF(INDEX($R$2:$R$401,$V231)&lt;$B$2,"Vencida",IF(INDEX($R$2:$R$401,$V231)=$B$2,"Hoy","Programada"))))</f>
        <v/>
      </c>
      <c r="P231" s="26" t="n">
        <v>23</v>
      </c>
      <c r="Q231" s="26" t="n">
        <v>10</v>
      </c>
      <c r="R231" s="26">
        <f>INDEX(Progreso!$AZ$2:$BI$41,$P231,$Q231)</f>
        <v/>
      </c>
      <c r="S231" s="18">
        <f>IF(INDEX(Progreso!$AB$2:$AK$41,$P231,$Q231)=0,"",INDEX(Progreso!$AB$2:$AK$41,$P231,$Q231))</f>
        <v/>
      </c>
      <c r="T231" s="26">
        <f>IF($R231=0,"",COUNTIFS($R$2:$R$401,"&gt;0",$R$2:$R$401,"&lt;"&amp;$R231)+COUNTIFS($R$2:R231,"="&amp;$R231))</f>
        <v/>
      </c>
      <c r="V231" s="26">
        <f>IFERROR(MATCH(ROW()-ROW($V$12),$T$2:$T$401,0),"")</f>
        <v/>
      </c>
    </row>
    <row r="232" ht="22.5" customHeight="1">
      <c r="A232" s="85">
        <f>IF($V232="","",INDEX($R$2:$R$401,$V232))</f>
        <v/>
      </c>
      <c r="B232" s="4">
        <f>IF($V232="","",INDEX(DIAS_SEMANA,WEEKDAY(INDEX($R$2:$R$401,$V232),2)))</f>
        <v/>
      </c>
      <c r="C232" s="4">
        <f>IF($V232="","","Tema "&amp;INDEX($P$2:$P$401,$V232))</f>
        <v/>
      </c>
      <c r="D232" s="70">
        <f>IF($V232="","",INDEX($Q$2:$Q$401,$V232))</f>
        <v/>
      </c>
      <c r="E232" s="4">
        <f>IF($V232="","",IF(INDEX($S$2:$S$401,$V232)&lt;&gt;"",INDEX($S$2:$S$401,$V232),IF(INDEX($R$2:$R$401,$V232)&lt;$B$2,"Vencida",IF(INDEX($R$2:$R$401,$V232)=$B$2,"Hoy","Programada"))))</f>
        <v/>
      </c>
      <c r="P232" s="26" t="n">
        <v>24</v>
      </c>
      <c r="Q232" s="26" t="n">
        <v>1</v>
      </c>
      <c r="R232" s="26">
        <f>INDEX(Progreso!$AZ$2:$BI$41,$P232,$Q232)</f>
        <v/>
      </c>
      <c r="S232" s="18">
        <f>IF(INDEX(Progreso!$AB$2:$AK$41,$P232,$Q232)=0,"",INDEX(Progreso!$AB$2:$AK$41,$P232,$Q232))</f>
        <v/>
      </c>
      <c r="T232" s="26">
        <f>IF($R232=0,"",COUNTIFS($R$2:$R$401,"&gt;0",$R$2:$R$401,"&lt;"&amp;$R232)+COUNTIFS($R$2:R232,"="&amp;$R232))</f>
        <v/>
      </c>
      <c r="V232" s="26">
        <f>IFERROR(MATCH(ROW()-ROW($V$12),$T$2:$T$401,0),"")</f>
        <v/>
      </c>
    </row>
    <row r="233" ht="22.5" customHeight="1">
      <c r="A233" s="78">
        <f>IF($V233="","",INDEX($R$2:$R$401,$V233))</f>
        <v/>
      </c>
      <c r="B233" s="2">
        <f>IF($V233="","",INDEX(DIAS_SEMANA,WEEKDAY(INDEX($R$2:$R$401,$V233),2)))</f>
        <v/>
      </c>
      <c r="C233" s="2">
        <f>IF($V233="","","Tema "&amp;INDEX($P$2:$P$401,$V233))</f>
        <v/>
      </c>
      <c r="D233" s="69">
        <f>IF($V233="","",INDEX($Q$2:$Q$401,$V233))</f>
        <v/>
      </c>
      <c r="E233" s="2">
        <f>IF($V233="","",IF(INDEX($S$2:$S$401,$V233)&lt;&gt;"",INDEX($S$2:$S$401,$V233),IF(INDEX($R$2:$R$401,$V233)&lt;$B$2,"Vencida",IF(INDEX($R$2:$R$401,$V233)=$B$2,"Hoy","Programada"))))</f>
        <v/>
      </c>
      <c r="P233" s="26" t="n">
        <v>24</v>
      </c>
      <c r="Q233" s="26" t="n">
        <v>2</v>
      </c>
      <c r="R233" s="26">
        <f>INDEX(Progreso!$AZ$2:$BI$41,$P233,$Q233)</f>
        <v/>
      </c>
      <c r="S233" s="18">
        <f>IF(INDEX(Progreso!$AB$2:$AK$41,$P233,$Q233)=0,"",INDEX(Progreso!$AB$2:$AK$41,$P233,$Q233))</f>
        <v/>
      </c>
      <c r="T233" s="26">
        <f>IF($R233=0,"",COUNTIFS($R$2:$R$401,"&gt;0",$R$2:$R$401,"&lt;"&amp;$R233)+COUNTIFS($R$2:R233,"="&amp;$R233))</f>
        <v/>
      </c>
      <c r="V233" s="26">
        <f>IFERROR(MATCH(ROW()-ROW($V$12),$T$2:$T$401,0),"")</f>
        <v/>
      </c>
    </row>
    <row r="234" ht="22.5" customHeight="1">
      <c r="A234" s="85">
        <f>IF($V234="","",INDEX($R$2:$R$401,$V234))</f>
        <v/>
      </c>
      <c r="B234" s="4">
        <f>IF($V234="","",INDEX(DIAS_SEMANA,WEEKDAY(INDEX($R$2:$R$401,$V234),2)))</f>
        <v/>
      </c>
      <c r="C234" s="4">
        <f>IF($V234="","","Tema "&amp;INDEX($P$2:$P$401,$V234))</f>
        <v/>
      </c>
      <c r="D234" s="70">
        <f>IF($V234="","",INDEX($Q$2:$Q$401,$V234))</f>
        <v/>
      </c>
      <c r="E234" s="4">
        <f>IF($V234="","",IF(INDEX($S$2:$S$401,$V234)&lt;&gt;"",INDEX($S$2:$S$401,$V234),IF(INDEX($R$2:$R$401,$V234)&lt;$B$2,"Vencida",IF(INDEX($R$2:$R$401,$V234)=$B$2,"Hoy","Programada"))))</f>
        <v/>
      </c>
      <c r="P234" s="26" t="n">
        <v>24</v>
      </c>
      <c r="Q234" s="26" t="n">
        <v>3</v>
      </c>
      <c r="R234" s="26">
        <f>INDEX(Progreso!$AZ$2:$BI$41,$P234,$Q234)</f>
        <v/>
      </c>
      <c r="S234" s="18">
        <f>IF(INDEX(Progreso!$AB$2:$AK$41,$P234,$Q234)=0,"",INDEX(Progreso!$AB$2:$AK$41,$P234,$Q234))</f>
        <v/>
      </c>
      <c r="T234" s="26">
        <f>IF($R234=0,"",COUNTIFS($R$2:$R$401,"&gt;0",$R$2:$R$401,"&lt;"&amp;$R234)+COUNTIFS($R$2:R234,"="&amp;$R234))</f>
        <v/>
      </c>
      <c r="V234" s="26">
        <f>IFERROR(MATCH(ROW()-ROW($V$12),$T$2:$T$401,0),"")</f>
        <v/>
      </c>
    </row>
    <row r="235" ht="22.5" customHeight="1">
      <c r="A235" s="78">
        <f>IF($V235="","",INDEX($R$2:$R$401,$V235))</f>
        <v/>
      </c>
      <c r="B235" s="2">
        <f>IF($V235="","",INDEX(DIAS_SEMANA,WEEKDAY(INDEX($R$2:$R$401,$V235),2)))</f>
        <v/>
      </c>
      <c r="C235" s="2">
        <f>IF($V235="","","Tema "&amp;INDEX($P$2:$P$401,$V235))</f>
        <v/>
      </c>
      <c r="D235" s="69">
        <f>IF($V235="","",INDEX($Q$2:$Q$401,$V235))</f>
        <v/>
      </c>
      <c r="E235" s="2">
        <f>IF($V235="","",IF(INDEX($S$2:$S$401,$V235)&lt;&gt;"",INDEX($S$2:$S$401,$V235),IF(INDEX($R$2:$R$401,$V235)&lt;$B$2,"Vencida",IF(INDEX($R$2:$R$401,$V235)=$B$2,"Hoy","Programada"))))</f>
        <v/>
      </c>
      <c r="P235" s="26" t="n">
        <v>24</v>
      </c>
      <c r="Q235" s="26" t="n">
        <v>4</v>
      </c>
      <c r="R235" s="26">
        <f>INDEX(Progreso!$AZ$2:$BI$41,$P235,$Q235)</f>
        <v/>
      </c>
      <c r="S235" s="18">
        <f>IF(INDEX(Progreso!$AB$2:$AK$41,$P235,$Q235)=0,"",INDEX(Progreso!$AB$2:$AK$41,$P235,$Q235))</f>
        <v/>
      </c>
      <c r="T235" s="26">
        <f>IF($R235=0,"",COUNTIFS($R$2:$R$401,"&gt;0",$R$2:$R$401,"&lt;"&amp;$R235)+COUNTIFS($R$2:R235,"="&amp;$R235))</f>
        <v/>
      </c>
      <c r="V235" s="26">
        <f>IFERROR(MATCH(ROW()-ROW($V$12),$T$2:$T$401,0),"")</f>
        <v/>
      </c>
    </row>
    <row r="236" ht="22.5" customHeight="1">
      <c r="A236" s="85">
        <f>IF($V236="","",INDEX($R$2:$R$401,$V236))</f>
        <v/>
      </c>
      <c r="B236" s="4">
        <f>IF($V236="","",INDEX(DIAS_SEMANA,WEEKDAY(INDEX($R$2:$R$401,$V236),2)))</f>
        <v/>
      </c>
      <c r="C236" s="4">
        <f>IF($V236="","","Tema "&amp;INDEX($P$2:$P$401,$V236))</f>
        <v/>
      </c>
      <c r="D236" s="70">
        <f>IF($V236="","",INDEX($Q$2:$Q$401,$V236))</f>
        <v/>
      </c>
      <c r="E236" s="4">
        <f>IF($V236="","",IF(INDEX($S$2:$S$401,$V236)&lt;&gt;"",INDEX($S$2:$S$401,$V236),IF(INDEX($R$2:$R$401,$V236)&lt;$B$2,"Vencida",IF(INDEX($R$2:$R$401,$V236)=$B$2,"Hoy","Programada"))))</f>
        <v/>
      </c>
      <c r="P236" s="26" t="n">
        <v>24</v>
      </c>
      <c r="Q236" s="26" t="n">
        <v>5</v>
      </c>
      <c r="R236" s="26">
        <f>INDEX(Progreso!$AZ$2:$BI$41,$P236,$Q236)</f>
        <v/>
      </c>
      <c r="S236" s="18">
        <f>IF(INDEX(Progreso!$AB$2:$AK$41,$P236,$Q236)=0,"",INDEX(Progreso!$AB$2:$AK$41,$P236,$Q236))</f>
        <v/>
      </c>
      <c r="T236" s="26">
        <f>IF($R236=0,"",COUNTIFS($R$2:$R$401,"&gt;0",$R$2:$R$401,"&lt;"&amp;$R236)+COUNTIFS($R$2:R236,"="&amp;$R236))</f>
        <v/>
      </c>
      <c r="V236" s="26">
        <f>IFERROR(MATCH(ROW()-ROW($V$12),$T$2:$T$401,0),"")</f>
        <v/>
      </c>
    </row>
    <row r="237" ht="22.5" customHeight="1">
      <c r="A237" s="78">
        <f>IF($V237="","",INDEX($R$2:$R$401,$V237))</f>
        <v/>
      </c>
      <c r="B237" s="2">
        <f>IF($V237="","",INDEX(DIAS_SEMANA,WEEKDAY(INDEX($R$2:$R$401,$V237),2)))</f>
        <v/>
      </c>
      <c r="C237" s="2">
        <f>IF($V237="","","Tema "&amp;INDEX($P$2:$P$401,$V237))</f>
        <v/>
      </c>
      <c r="D237" s="69">
        <f>IF($V237="","",INDEX($Q$2:$Q$401,$V237))</f>
        <v/>
      </c>
      <c r="E237" s="2">
        <f>IF($V237="","",IF(INDEX($S$2:$S$401,$V237)&lt;&gt;"",INDEX($S$2:$S$401,$V237),IF(INDEX($R$2:$R$401,$V237)&lt;$B$2,"Vencida",IF(INDEX($R$2:$R$401,$V237)=$B$2,"Hoy","Programada"))))</f>
        <v/>
      </c>
      <c r="P237" s="26" t="n">
        <v>24</v>
      </c>
      <c r="Q237" s="26" t="n">
        <v>6</v>
      </c>
      <c r="R237" s="26">
        <f>INDEX(Progreso!$AZ$2:$BI$41,$P237,$Q237)</f>
        <v/>
      </c>
      <c r="S237" s="18">
        <f>IF(INDEX(Progreso!$AB$2:$AK$41,$P237,$Q237)=0,"",INDEX(Progreso!$AB$2:$AK$41,$P237,$Q237))</f>
        <v/>
      </c>
      <c r="T237" s="26">
        <f>IF($R237=0,"",COUNTIFS($R$2:$R$401,"&gt;0",$R$2:$R$401,"&lt;"&amp;$R237)+COUNTIFS($R$2:R237,"="&amp;$R237))</f>
        <v/>
      </c>
      <c r="V237" s="26">
        <f>IFERROR(MATCH(ROW()-ROW($V$12),$T$2:$T$401,0),"")</f>
        <v/>
      </c>
    </row>
    <row r="238" ht="22.5" customHeight="1">
      <c r="A238" s="85">
        <f>IF($V238="","",INDEX($R$2:$R$401,$V238))</f>
        <v/>
      </c>
      <c r="B238" s="4">
        <f>IF($V238="","",INDEX(DIAS_SEMANA,WEEKDAY(INDEX($R$2:$R$401,$V238),2)))</f>
        <v/>
      </c>
      <c r="C238" s="4">
        <f>IF($V238="","","Tema "&amp;INDEX($P$2:$P$401,$V238))</f>
        <v/>
      </c>
      <c r="D238" s="70">
        <f>IF($V238="","",INDEX($Q$2:$Q$401,$V238))</f>
        <v/>
      </c>
      <c r="E238" s="4">
        <f>IF($V238="","",IF(INDEX($S$2:$S$401,$V238)&lt;&gt;"",INDEX($S$2:$S$401,$V238),IF(INDEX($R$2:$R$401,$V238)&lt;$B$2,"Vencida",IF(INDEX($R$2:$R$401,$V238)=$B$2,"Hoy","Programada"))))</f>
        <v/>
      </c>
      <c r="P238" s="26" t="n">
        <v>24</v>
      </c>
      <c r="Q238" s="26" t="n">
        <v>7</v>
      </c>
      <c r="R238" s="26">
        <f>INDEX(Progreso!$AZ$2:$BI$41,$P238,$Q238)</f>
        <v/>
      </c>
      <c r="S238" s="18">
        <f>IF(INDEX(Progreso!$AB$2:$AK$41,$P238,$Q238)=0,"",INDEX(Progreso!$AB$2:$AK$41,$P238,$Q238))</f>
        <v/>
      </c>
      <c r="T238" s="26">
        <f>IF($R238=0,"",COUNTIFS($R$2:$R$401,"&gt;0",$R$2:$R$401,"&lt;"&amp;$R238)+COUNTIFS($R$2:R238,"="&amp;$R238))</f>
        <v/>
      </c>
      <c r="V238" s="26">
        <f>IFERROR(MATCH(ROW()-ROW($V$12),$T$2:$T$401,0),"")</f>
        <v/>
      </c>
    </row>
    <row r="239" ht="22.5" customHeight="1">
      <c r="A239" s="78">
        <f>IF($V239="","",INDEX($R$2:$R$401,$V239))</f>
        <v/>
      </c>
      <c r="B239" s="2">
        <f>IF($V239="","",INDEX(DIAS_SEMANA,WEEKDAY(INDEX($R$2:$R$401,$V239),2)))</f>
        <v/>
      </c>
      <c r="C239" s="2">
        <f>IF($V239="","","Tema "&amp;INDEX($P$2:$P$401,$V239))</f>
        <v/>
      </c>
      <c r="D239" s="69">
        <f>IF($V239="","",INDEX($Q$2:$Q$401,$V239))</f>
        <v/>
      </c>
      <c r="E239" s="2">
        <f>IF($V239="","",IF(INDEX($S$2:$S$401,$V239)&lt;&gt;"",INDEX($S$2:$S$401,$V239),IF(INDEX($R$2:$R$401,$V239)&lt;$B$2,"Vencida",IF(INDEX($R$2:$R$401,$V239)=$B$2,"Hoy","Programada"))))</f>
        <v/>
      </c>
      <c r="P239" s="26" t="n">
        <v>24</v>
      </c>
      <c r="Q239" s="26" t="n">
        <v>8</v>
      </c>
      <c r="R239" s="26">
        <f>INDEX(Progreso!$AZ$2:$BI$41,$P239,$Q239)</f>
        <v/>
      </c>
      <c r="S239" s="18">
        <f>IF(INDEX(Progreso!$AB$2:$AK$41,$P239,$Q239)=0,"",INDEX(Progreso!$AB$2:$AK$41,$P239,$Q239))</f>
        <v/>
      </c>
      <c r="T239" s="26">
        <f>IF($R239=0,"",COUNTIFS($R$2:$R$401,"&gt;0",$R$2:$R$401,"&lt;"&amp;$R239)+COUNTIFS($R$2:R239,"="&amp;$R239))</f>
        <v/>
      </c>
      <c r="V239" s="26">
        <f>IFERROR(MATCH(ROW()-ROW($V$12),$T$2:$T$401,0),"")</f>
        <v/>
      </c>
    </row>
    <row r="240" ht="22.5" customHeight="1">
      <c r="A240" s="85">
        <f>IF($V240="","",INDEX($R$2:$R$401,$V240))</f>
        <v/>
      </c>
      <c r="B240" s="4">
        <f>IF($V240="","",INDEX(DIAS_SEMANA,WEEKDAY(INDEX($R$2:$R$401,$V240),2)))</f>
        <v/>
      </c>
      <c r="C240" s="4">
        <f>IF($V240="","","Tema "&amp;INDEX($P$2:$P$401,$V240))</f>
        <v/>
      </c>
      <c r="D240" s="70">
        <f>IF($V240="","",INDEX($Q$2:$Q$401,$V240))</f>
        <v/>
      </c>
      <c r="E240" s="4">
        <f>IF($V240="","",IF(INDEX($S$2:$S$401,$V240)&lt;&gt;"",INDEX($S$2:$S$401,$V240),IF(INDEX($R$2:$R$401,$V240)&lt;$B$2,"Vencida",IF(INDEX($R$2:$R$401,$V240)=$B$2,"Hoy","Programada"))))</f>
        <v/>
      </c>
      <c r="P240" s="26" t="n">
        <v>24</v>
      </c>
      <c r="Q240" s="26" t="n">
        <v>9</v>
      </c>
      <c r="R240" s="26">
        <f>INDEX(Progreso!$AZ$2:$BI$41,$P240,$Q240)</f>
        <v/>
      </c>
      <c r="S240" s="18">
        <f>IF(INDEX(Progreso!$AB$2:$AK$41,$P240,$Q240)=0,"",INDEX(Progreso!$AB$2:$AK$41,$P240,$Q240))</f>
        <v/>
      </c>
      <c r="T240" s="26">
        <f>IF($R240=0,"",COUNTIFS($R$2:$R$401,"&gt;0",$R$2:$R$401,"&lt;"&amp;$R240)+COUNTIFS($R$2:R240,"="&amp;$R240))</f>
        <v/>
      </c>
      <c r="V240" s="26">
        <f>IFERROR(MATCH(ROW()-ROW($V$12),$T$2:$T$401,0),"")</f>
        <v/>
      </c>
    </row>
    <row r="241" ht="22.5" customHeight="1">
      <c r="A241" s="78">
        <f>IF($V241="","",INDEX($R$2:$R$401,$V241))</f>
        <v/>
      </c>
      <c r="B241" s="2">
        <f>IF($V241="","",INDEX(DIAS_SEMANA,WEEKDAY(INDEX($R$2:$R$401,$V241),2)))</f>
        <v/>
      </c>
      <c r="C241" s="2">
        <f>IF($V241="","","Tema "&amp;INDEX($P$2:$P$401,$V241))</f>
        <v/>
      </c>
      <c r="D241" s="69">
        <f>IF($V241="","",INDEX($Q$2:$Q$401,$V241))</f>
        <v/>
      </c>
      <c r="E241" s="2">
        <f>IF($V241="","",IF(INDEX($S$2:$S$401,$V241)&lt;&gt;"",INDEX($S$2:$S$401,$V241),IF(INDEX($R$2:$R$401,$V241)&lt;$B$2,"Vencida",IF(INDEX($R$2:$R$401,$V241)=$B$2,"Hoy","Programada"))))</f>
        <v/>
      </c>
      <c r="P241" s="26" t="n">
        <v>24</v>
      </c>
      <c r="Q241" s="26" t="n">
        <v>10</v>
      </c>
      <c r="R241" s="26">
        <f>INDEX(Progreso!$AZ$2:$BI$41,$P241,$Q241)</f>
        <v/>
      </c>
      <c r="S241" s="18">
        <f>IF(INDEX(Progreso!$AB$2:$AK$41,$P241,$Q241)=0,"",INDEX(Progreso!$AB$2:$AK$41,$P241,$Q241))</f>
        <v/>
      </c>
      <c r="T241" s="26">
        <f>IF($R241=0,"",COUNTIFS($R$2:$R$401,"&gt;0",$R$2:$R$401,"&lt;"&amp;$R241)+COUNTIFS($R$2:R241,"="&amp;$R241))</f>
        <v/>
      </c>
      <c r="V241" s="26">
        <f>IFERROR(MATCH(ROW()-ROW($V$12),$T$2:$T$401,0),"")</f>
        <v/>
      </c>
    </row>
    <row r="242" ht="22.5" customHeight="1">
      <c r="A242" s="85">
        <f>IF($V242="","",INDEX($R$2:$R$401,$V242))</f>
        <v/>
      </c>
      <c r="B242" s="4">
        <f>IF($V242="","",INDEX(DIAS_SEMANA,WEEKDAY(INDEX($R$2:$R$401,$V242),2)))</f>
        <v/>
      </c>
      <c r="C242" s="4">
        <f>IF($V242="","","Tema "&amp;INDEX($P$2:$P$401,$V242))</f>
        <v/>
      </c>
      <c r="D242" s="70">
        <f>IF($V242="","",INDEX($Q$2:$Q$401,$V242))</f>
        <v/>
      </c>
      <c r="E242" s="4">
        <f>IF($V242="","",IF(INDEX($S$2:$S$401,$V242)&lt;&gt;"",INDEX($S$2:$S$401,$V242),IF(INDEX($R$2:$R$401,$V242)&lt;$B$2,"Vencida",IF(INDEX($R$2:$R$401,$V242)=$B$2,"Hoy","Programada"))))</f>
        <v/>
      </c>
      <c r="P242" s="26" t="n">
        <v>25</v>
      </c>
      <c r="Q242" s="26" t="n">
        <v>1</v>
      </c>
      <c r="R242" s="26">
        <f>INDEX(Progreso!$AZ$2:$BI$41,$P242,$Q242)</f>
        <v/>
      </c>
      <c r="S242" s="18">
        <f>IF(INDEX(Progreso!$AB$2:$AK$41,$P242,$Q242)=0,"",INDEX(Progreso!$AB$2:$AK$41,$P242,$Q242))</f>
        <v/>
      </c>
      <c r="T242" s="26">
        <f>IF($R242=0,"",COUNTIFS($R$2:$R$401,"&gt;0",$R$2:$R$401,"&lt;"&amp;$R242)+COUNTIFS($R$2:R242,"="&amp;$R242))</f>
        <v/>
      </c>
      <c r="V242" s="26">
        <f>IFERROR(MATCH(ROW()-ROW($V$12),$T$2:$T$401,0),"")</f>
        <v/>
      </c>
    </row>
    <row r="243" ht="22.5" customHeight="1">
      <c r="A243" s="78">
        <f>IF($V243="","",INDEX($R$2:$R$401,$V243))</f>
        <v/>
      </c>
      <c r="B243" s="2">
        <f>IF($V243="","",INDEX(DIAS_SEMANA,WEEKDAY(INDEX($R$2:$R$401,$V243),2)))</f>
        <v/>
      </c>
      <c r="C243" s="2">
        <f>IF($V243="","","Tema "&amp;INDEX($P$2:$P$401,$V243))</f>
        <v/>
      </c>
      <c r="D243" s="69">
        <f>IF($V243="","",INDEX($Q$2:$Q$401,$V243))</f>
        <v/>
      </c>
      <c r="E243" s="2">
        <f>IF($V243="","",IF(INDEX($S$2:$S$401,$V243)&lt;&gt;"",INDEX($S$2:$S$401,$V243),IF(INDEX($R$2:$R$401,$V243)&lt;$B$2,"Vencida",IF(INDEX($R$2:$R$401,$V243)=$B$2,"Hoy","Programada"))))</f>
        <v/>
      </c>
      <c r="P243" s="26" t="n">
        <v>25</v>
      </c>
      <c r="Q243" s="26" t="n">
        <v>2</v>
      </c>
      <c r="R243" s="26">
        <f>INDEX(Progreso!$AZ$2:$BI$41,$P243,$Q243)</f>
        <v/>
      </c>
      <c r="S243" s="18">
        <f>IF(INDEX(Progreso!$AB$2:$AK$41,$P243,$Q243)=0,"",INDEX(Progreso!$AB$2:$AK$41,$P243,$Q243))</f>
        <v/>
      </c>
      <c r="T243" s="26">
        <f>IF($R243=0,"",COUNTIFS($R$2:$R$401,"&gt;0",$R$2:$R$401,"&lt;"&amp;$R243)+COUNTIFS($R$2:R243,"="&amp;$R243))</f>
        <v/>
      </c>
      <c r="V243" s="26">
        <f>IFERROR(MATCH(ROW()-ROW($V$12),$T$2:$T$401,0),"")</f>
        <v/>
      </c>
    </row>
    <row r="244" ht="22.5" customHeight="1">
      <c r="A244" s="85">
        <f>IF($V244="","",INDEX($R$2:$R$401,$V244))</f>
        <v/>
      </c>
      <c r="B244" s="4">
        <f>IF($V244="","",INDEX(DIAS_SEMANA,WEEKDAY(INDEX($R$2:$R$401,$V244),2)))</f>
        <v/>
      </c>
      <c r="C244" s="4">
        <f>IF($V244="","","Tema "&amp;INDEX($P$2:$P$401,$V244))</f>
        <v/>
      </c>
      <c r="D244" s="70">
        <f>IF($V244="","",INDEX($Q$2:$Q$401,$V244))</f>
        <v/>
      </c>
      <c r="E244" s="4">
        <f>IF($V244="","",IF(INDEX($S$2:$S$401,$V244)&lt;&gt;"",INDEX($S$2:$S$401,$V244),IF(INDEX($R$2:$R$401,$V244)&lt;$B$2,"Vencida",IF(INDEX($R$2:$R$401,$V244)=$B$2,"Hoy","Programada"))))</f>
        <v/>
      </c>
      <c r="P244" s="26" t="n">
        <v>25</v>
      </c>
      <c r="Q244" s="26" t="n">
        <v>3</v>
      </c>
      <c r="R244" s="26">
        <f>INDEX(Progreso!$AZ$2:$BI$41,$P244,$Q244)</f>
        <v/>
      </c>
      <c r="S244" s="18">
        <f>IF(INDEX(Progreso!$AB$2:$AK$41,$P244,$Q244)=0,"",INDEX(Progreso!$AB$2:$AK$41,$P244,$Q244))</f>
        <v/>
      </c>
      <c r="T244" s="26">
        <f>IF($R244=0,"",COUNTIFS($R$2:$R$401,"&gt;0",$R$2:$R$401,"&lt;"&amp;$R244)+COUNTIFS($R$2:R244,"="&amp;$R244))</f>
        <v/>
      </c>
      <c r="V244" s="26">
        <f>IFERROR(MATCH(ROW()-ROW($V$12),$T$2:$T$401,0),"")</f>
        <v/>
      </c>
    </row>
    <row r="245" ht="22.5" customHeight="1">
      <c r="A245" s="78">
        <f>IF($V245="","",INDEX($R$2:$R$401,$V245))</f>
        <v/>
      </c>
      <c r="B245" s="2">
        <f>IF($V245="","",INDEX(DIAS_SEMANA,WEEKDAY(INDEX($R$2:$R$401,$V245),2)))</f>
        <v/>
      </c>
      <c r="C245" s="2">
        <f>IF($V245="","","Tema "&amp;INDEX($P$2:$P$401,$V245))</f>
        <v/>
      </c>
      <c r="D245" s="69">
        <f>IF($V245="","",INDEX($Q$2:$Q$401,$V245))</f>
        <v/>
      </c>
      <c r="E245" s="2">
        <f>IF($V245="","",IF(INDEX($S$2:$S$401,$V245)&lt;&gt;"",INDEX($S$2:$S$401,$V245),IF(INDEX($R$2:$R$401,$V245)&lt;$B$2,"Vencida",IF(INDEX($R$2:$R$401,$V245)=$B$2,"Hoy","Programada"))))</f>
        <v/>
      </c>
      <c r="P245" s="26" t="n">
        <v>25</v>
      </c>
      <c r="Q245" s="26" t="n">
        <v>4</v>
      </c>
      <c r="R245" s="26">
        <f>INDEX(Progreso!$AZ$2:$BI$41,$P245,$Q245)</f>
        <v/>
      </c>
      <c r="S245" s="18">
        <f>IF(INDEX(Progreso!$AB$2:$AK$41,$P245,$Q245)=0,"",INDEX(Progreso!$AB$2:$AK$41,$P245,$Q245))</f>
        <v/>
      </c>
      <c r="T245" s="26">
        <f>IF($R245=0,"",COUNTIFS($R$2:$R$401,"&gt;0",$R$2:$R$401,"&lt;"&amp;$R245)+COUNTIFS($R$2:R245,"="&amp;$R245))</f>
        <v/>
      </c>
      <c r="V245" s="26">
        <f>IFERROR(MATCH(ROW()-ROW($V$12),$T$2:$T$401,0),"")</f>
        <v/>
      </c>
    </row>
    <row r="246" ht="22.5" customHeight="1">
      <c r="A246" s="85">
        <f>IF($V246="","",INDEX($R$2:$R$401,$V246))</f>
        <v/>
      </c>
      <c r="B246" s="4">
        <f>IF($V246="","",INDEX(DIAS_SEMANA,WEEKDAY(INDEX($R$2:$R$401,$V246),2)))</f>
        <v/>
      </c>
      <c r="C246" s="4">
        <f>IF($V246="","","Tema "&amp;INDEX($P$2:$P$401,$V246))</f>
        <v/>
      </c>
      <c r="D246" s="70">
        <f>IF($V246="","",INDEX($Q$2:$Q$401,$V246))</f>
        <v/>
      </c>
      <c r="E246" s="4">
        <f>IF($V246="","",IF(INDEX($S$2:$S$401,$V246)&lt;&gt;"",INDEX($S$2:$S$401,$V246),IF(INDEX($R$2:$R$401,$V246)&lt;$B$2,"Vencida",IF(INDEX($R$2:$R$401,$V246)=$B$2,"Hoy","Programada"))))</f>
        <v/>
      </c>
      <c r="P246" s="26" t="n">
        <v>25</v>
      </c>
      <c r="Q246" s="26" t="n">
        <v>5</v>
      </c>
      <c r="R246" s="26">
        <f>INDEX(Progreso!$AZ$2:$BI$41,$P246,$Q246)</f>
        <v/>
      </c>
      <c r="S246" s="18">
        <f>IF(INDEX(Progreso!$AB$2:$AK$41,$P246,$Q246)=0,"",INDEX(Progreso!$AB$2:$AK$41,$P246,$Q246))</f>
        <v/>
      </c>
      <c r="T246" s="26">
        <f>IF($R246=0,"",COUNTIFS($R$2:$R$401,"&gt;0",$R$2:$R$401,"&lt;"&amp;$R246)+COUNTIFS($R$2:R246,"="&amp;$R246))</f>
        <v/>
      </c>
      <c r="V246" s="26">
        <f>IFERROR(MATCH(ROW()-ROW($V$12),$T$2:$T$401,0),"")</f>
        <v/>
      </c>
    </row>
    <row r="247" ht="22.5" customHeight="1">
      <c r="A247" s="78">
        <f>IF($V247="","",INDEX($R$2:$R$401,$V247))</f>
        <v/>
      </c>
      <c r="B247" s="2">
        <f>IF($V247="","",INDEX(DIAS_SEMANA,WEEKDAY(INDEX($R$2:$R$401,$V247),2)))</f>
        <v/>
      </c>
      <c r="C247" s="2">
        <f>IF($V247="","","Tema "&amp;INDEX($P$2:$P$401,$V247))</f>
        <v/>
      </c>
      <c r="D247" s="69">
        <f>IF($V247="","",INDEX($Q$2:$Q$401,$V247))</f>
        <v/>
      </c>
      <c r="E247" s="2">
        <f>IF($V247="","",IF(INDEX($S$2:$S$401,$V247)&lt;&gt;"",INDEX($S$2:$S$401,$V247),IF(INDEX($R$2:$R$401,$V247)&lt;$B$2,"Vencida",IF(INDEX($R$2:$R$401,$V247)=$B$2,"Hoy","Programada"))))</f>
        <v/>
      </c>
      <c r="P247" s="26" t="n">
        <v>25</v>
      </c>
      <c r="Q247" s="26" t="n">
        <v>6</v>
      </c>
      <c r="R247" s="26">
        <f>INDEX(Progreso!$AZ$2:$BI$41,$P247,$Q247)</f>
        <v/>
      </c>
      <c r="S247" s="18">
        <f>IF(INDEX(Progreso!$AB$2:$AK$41,$P247,$Q247)=0,"",INDEX(Progreso!$AB$2:$AK$41,$P247,$Q247))</f>
        <v/>
      </c>
      <c r="T247" s="26">
        <f>IF($R247=0,"",COUNTIFS($R$2:$R$401,"&gt;0",$R$2:$R$401,"&lt;"&amp;$R247)+COUNTIFS($R$2:R247,"="&amp;$R247))</f>
        <v/>
      </c>
      <c r="V247" s="26">
        <f>IFERROR(MATCH(ROW()-ROW($V$12),$T$2:$T$401,0),"")</f>
        <v/>
      </c>
    </row>
    <row r="248" ht="22.5" customHeight="1">
      <c r="A248" s="85">
        <f>IF($V248="","",INDEX($R$2:$R$401,$V248))</f>
        <v/>
      </c>
      <c r="B248" s="4">
        <f>IF($V248="","",INDEX(DIAS_SEMANA,WEEKDAY(INDEX($R$2:$R$401,$V248),2)))</f>
        <v/>
      </c>
      <c r="C248" s="4">
        <f>IF($V248="","","Tema "&amp;INDEX($P$2:$P$401,$V248))</f>
        <v/>
      </c>
      <c r="D248" s="70">
        <f>IF($V248="","",INDEX($Q$2:$Q$401,$V248))</f>
        <v/>
      </c>
      <c r="E248" s="4">
        <f>IF($V248="","",IF(INDEX($S$2:$S$401,$V248)&lt;&gt;"",INDEX($S$2:$S$401,$V248),IF(INDEX($R$2:$R$401,$V248)&lt;$B$2,"Vencida",IF(INDEX($R$2:$R$401,$V248)=$B$2,"Hoy","Programada"))))</f>
        <v/>
      </c>
      <c r="P248" s="26" t="n">
        <v>25</v>
      </c>
      <c r="Q248" s="26" t="n">
        <v>7</v>
      </c>
      <c r="R248" s="26">
        <f>INDEX(Progreso!$AZ$2:$BI$41,$P248,$Q248)</f>
        <v/>
      </c>
      <c r="S248" s="18">
        <f>IF(INDEX(Progreso!$AB$2:$AK$41,$P248,$Q248)=0,"",INDEX(Progreso!$AB$2:$AK$41,$P248,$Q248))</f>
        <v/>
      </c>
      <c r="T248" s="26">
        <f>IF($R248=0,"",COUNTIFS($R$2:$R$401,"&gt;0",$R$2:$R$401,"&lt;"&amp;$R248)+COUNTIFS($R$2:R248,"="&amp;$R248))</f>
        <v/>
      </c>
      <c r="V248" s="26">
        <f>IFERROR(MATCH(ROW()-ROW($V$12),$T$2:$T$401,0),"")</f>
        <v/>
      </c>
    </row>
    <row r="249" ht="22.5" customHeight="1">
      <c r="A249" s="78">
        <f>IF($V249="","",INDEX($R$2:$R$401,$V249))</f>
        <v/>
      </c>
      <c r="B249" s="2">
        <f>IF($V249="","",INDEX(DIAS_SEMANA,WEEKDAY(INDEX($R$2:$R$401,$V249),2)))</f>
        <v/>
      </c>
      <c r="C249" s="2">
        <f>IF($V249="","","Tema "&amp;INDEX($P$2:$P$401,$V249))</f>
        <v/>
      </c>
      <c r="D249" s="69">
        <f>IF($V249="","",INDEX($Q$2:$Q$401,$V249))</f>
        <v/>
      </c>
      <c r="E249" s="2">
        <f>IF($V249="","",IF(INDEX($S$2:$S$401,$V249)&lt;&gt;"",INDEX($S$2:$S$401,$V249),IF(INDEX($R$2:$R$401,$V249)&lt;$B$2,"Vencida",IF(INDEX($R$2:$R$401,$V249)=$B$2,"Hoy","Programada"))))</f>
        <v/>
      </c>
      <c r="P249" s="26" t="n">
        <v>25</v>
      </c>
      <c r="Q249" s="26" t="n">
        <v>8</v>
      </c>
      <c r="R249" s="26">
        <f>INDEX(Progreso!$AZ$2:$BI$41,$P249,$Q249)</f>
        <v/>
      </c>
      <c r="S249" s="18">
        <f>IF(INDEX(Progreso!$AB$2:$AK$41,$P249,$Q249)=0,"",INDEX(Progreso!$AB$2:$AK$41,$P249,$Q249))</f>
        <v/>
      </c>
      <c r="T249" s="26">
        <f>IF($R249=0,"",COUNTIFS($R$2:$R$401,"&gt;0",$R$2:$R$401,"&lt;"&amp;$R249)+COUNTIFS($R$2:R249,"="&amp;$R249))</f>
        <v/>
      </c>
      <c r="V249" s="26">
        <f>IFERROR(MATCH(ROW()-ROW($V$12),$T$2:$T$401,0),"")</f>
        <v/>
      </c>
    </row>
    <row r="250" ht="22.5" customHeight="1">
      <c r="A250" s="85">
        <f>IF($V250="","",INDEX($R$2:$R$401,$V250))</f>
        <v/>
      </c>
      <c r="B250" s="4">
        <f>IF($V250="","",INDEX(DIAS_SEMANA,WEEKDAY(INDEX($R$2:$R$401,$V250),2)))</f>
        <v/>
      </c>
      <c r="C250" s="4">
        <f>IF($V250="","","Tema "&amp;INDEX($P$2:$P$401,$V250))</f>
        <v/>
      </c>
      <c r="D250" s="70">
        <f>IF($V250="","",INDEX($Q$2:$Q$401,$V250))</f>
        <v/>
      </c>
      <c r="E250" s="4">
        <f>IF($V250="","",IF(INDEX($S$2:$S$401,$V250)&lt;&gt;"",INDEX($S$2:$S$401,$V250),IF(INDEX($R$2:$R$401,$V250)&lt;$B$2,"Vencida",IF(INDEX($R$2:$R$401,$V250)=$B$2,"Hoy","Programada"))))</f>
        <v/>
      </c>
      <c r="P250" s="26" t="n">
        <v>25</v>
      </c>
      <c r="Q250" s="26" t="n">
        <v>9</v>
      </c>
      <c r="R250" s="26">
        <f>INDEX(Progreso!$AZ$2:$BI$41,$P250,$Q250)</f>
        <v/>
      </c>
      <c r="S250" s="18">
        <f>IF(INDEX(Progreso!$AB$2:$AK$41,$P250,$Q250)=0,"",INDEX(Progreso!$AB$2:$AK$41,$P250,$Q250))</f>
        <v/>
      </c>
      <c r="T250" s="26">
        <f>IF($R250=0,"",COUNTIFS($R$2:$R$401,"&gt;0",$R$2:$R$401,"&lt;"&amp;$R250)+COUNTIFS($R$2:R250,"="&amp;$R250))</f>
        <v/>
      </c>
      <c r="V250" s="26">
        <f>IFERROR(MATCH(ROW()-ROW($V$12),$T$2:$T$401,0),"")</f>
        <v/>
      </c>
    </row>
    <row r="251" ht="22.5" customHeight="1">
      <c r="A251" s="78">
        <f>IF($V251="","",INDEX($R$2:$R$401,$V251))</f>
        <v/>
      </c>
      <c r="B251" s="2">
        <f>IF($V251="","",INDEX(DIAS_SEMANA,WEEKDAY(INDEX($R$2:$R$401,$V251),2)))</f>
        <v/>
      </c>
      <c r="C251" s="2">
        <f>IF($V251="","","Tema "&amp;INDEX($P$2:$P$401,$V251))</f>
        <v/>
      </c>
      <c r="D251" s="69">
        <f>IF($V251="","",INDEX($Q$2:$Q$401,$V251))</f>
        <v/>
      </c>
      <c r="E251" s="2">
        <f>IF($V251="","",IF(INDEX($S$2:$S$401,$V251)&lt;&gt;"",INDEX($S$2:$S$401,$V251),IF(INDEX($R$2:$R$401,$V251)&lt;$B$2,"Vencida",IF(INDEX($R$2:$R$401,$V251)=$B$2,"Hoy","Programada"))))</f>
        <v/>
      </c>
      <c r="P251" s="26" t="n">
        <v>25</v>
      </c>
      <c r="Q251" s="26" t="n">
        <v>10</v>
      </c>
      <c r="R251" s="26">
        <f>INDEX(Progreso!$AZ$2:$BI$41,$P251,$Q251)</f>
        <v/>
      </c>
      <c r="S251" s="18">
        <f>IF(INDEX(Progreso!$AB$2:$AK$41,$P251,$Q251)=0,"",INDEX(Progreso!$AB$2:$AK$41,$P251,$Q251))</f>
        <v/>
      </c>
      <c r="T251" s="26">
        <f>IF($R251=0,"",COUNTIFS($R$2:$R$401,"&gt;0",$R$2:$R$401,"&lt;"&amp;$R251)+COUNTIFS($R$2:R251,"="&amp;$R251))</f>
        <v/>
      </c>
      <c r="V251" s="26">
        <f>IFERROR(MATCH(ROW()-ROW($V$12),$T$2:$T$401,0),"")</f>
        <v/>
      </c>
    </row>
    <row r="252" ht="22.5" customHeight="1">
      <c r="A252" s="85">
        <f>IF($V252="","",INDEX($R$2:$R$401,$V252))</f>
        <v/>
      </c>
      <c r="B252" s="4">
        <f>IF($V252="","",INDEX(DIAS_SEMANA,WEEKDAY(INDEX($R$2:$R$401,$V252),2)))</f>
        <v/>
      </c>
      <c r="C252" s="4">
        <f>IF($V252="","","Tema "&amp;INDEX($P$2:$P$401,$V252))</f>
        <v/>
      </c>
      <c r="D252" s="70">
        <f>IF($V252="","",INDEX($Q$2:$Q$401,$V252))</f>
        <v/>
      </c>
      <c r="E252" s="4">
        <f>IF($V252="","",IF(INDEX($S$2:$S$401,$V252)&lt;&gt;"",INDEX($S$2:$S$401,$V252),IF(INDEX($R$2:$R$401,$V252)&lt;$B$2,"Vencida",IF(INDEX($R$2:$R$401,$V252)=$B$2,"Hoy","Programada"))))</f>
        <v/>
      </c>
      <c r="P252" s="26" t="n">
        <v>26</v>
      </c>
      <c r="Q252" s="26" t="n">
        <v>1</v>
      </c>
      <c r="R252" s="26">
        <f>INDEX(Progreso!$AZ$2:$BI$41,$P252,$Q252)</f>
        <v/>
      </c>
      <c r="S252" s="18">
        <f>IF(INDEX(Progreso!$AB$2:$AK$41,$P252,$Q252)=0,"",INDEX(Progreso!$AB$2:$AK$41,$P252,$Q252))</f>
        <v/>
      </c>
      <c r="T252" s="26">
        <f>IF($R252=0,"",COUNTIFS($R$2:$R$401,"&gt;0",$R$2:$R$401,"&lt;"&amp;$R252)+COUNTIFS($R$2:R252,"="&amp;$R252))</f>
        <v/>
      </c>
      <c r="V252" s="26">
        <f>IFERROR(MATCH(ROW()-ROW($V$12),$T$2:$T$401,0),"")</f>
        <v/>
      </c>
    </row>
    <row r="253" ht="22.5" customHeight="1">
      <c r="A253" s="78">
        <f>IF($V253="","",INDEX($R$2:$R$401,$V253))</f>
        <v/>
      </c>
      <c r="B253" s="2">
        <f>IF($V253="","",INDEX(DIAS_SEMANA,WEEKDAY(INDEX($R$2:$R$401,$V253),2)))</f>
        <v/>
      </c>
      <c r="C253" s="2">
        <f>IF($V253="","","Tema "&amp;INDEX($P$2:$P$401,$V253))</f>
        <v/>
      </c>
      <c r="D253" s="69">
        <f>IF($V253="","",INDEX($Q$2:$Q$401,$V253))</f>
        <v/>
      </c>
      <c r="E253" s="2">
        <f>IF($V253="","",IF(INDEX($S$2:$S$401,$V253)&lt;&gt;"",INDEX($S$2:$S$401,$V253),IF(INDEX($R$2:$R$401,$V253)&lt;$B$2,"Vencida",IF(INDEX($R$2:$R$401,$V253)=$B$2,"Hoy","Programada"))))</f>
        <v/>
      </c>
      <c r="P253" s="26" t="n">
        <v>26</v>
      </c>
      <c r="Q253" s="26" t="n">
        <v>2</v>
      </c>
      <c r="R253" s="26">
        <f>INDEX(Progreso!$AZ$2:$BI$41,$P253,$Q253)</f>
        <v/>
      </c>
      <c r="S253" s="18">
        <f>IF(INDEX(Progreso!$AB$2:$AK$41,$P253,$Q253)=0,"",INDEX(Progreso!$AB$2:$AK$41,$P253,$Q253))</f>
        <v/>
      </c>
      <c r="T253" s="26">
        <f>IF($R253=0,"",COUNTIFS($R$2:$R$401,"&gt;0",$R$2:$R$401,"&lt;"&amp;$R253)+COUNTIFS($R$2:R253,"="&amp;$R253))</f>
        <v/>
      </c>
      <c r="V253" s="26">
        <f>IFERROR(MATCH(ROW()-ROW($V$12),$T$2:$T$401,0),"")</f>
        <v/>
      </c>
    </row>
    <row r="254" ht="22.5" customHeight="1">
      <c r="A254" s="85">
        <f>IF($V254="","",INDEX($R$2:$R$401,$V254))</f>
        <v/>
      </c>
      <c r="B254" s="4">
        <f>IF($V254="","",INDEX(DIAS_SEMANA,WEEKDAY(INDEX($R$2:$R$401,$V254),2)))</f>
        <v/>
      </c>
      <c r="C254" s="4">
        <f>IF($V254="","","Tema "&amp;INDEX($P$2:$P$401,$V254))</f>
        <v/>
      </c>
      <c r="D254" s="70">
        <f>IF($V254="","",INDEX($Q$2:$Q$401,$V254))</f>
        <v/>
      </c>
      <c r="E254" s="4">
        <f>IF($V254="","",IF(INDEX($S$2:$S$401,$V254)&lt;&gt;"",INDEX($S$2:$S$401,$V254),IF(INDEX($R$2:$R$401,$V254)&lt;$B$2,"Vencida",IF(INDEX($R$2:$R$401,$V254)=$B$2,"Hoy","Programada"))))</f>
        <v/>
      </c>
      <c r="P254" s="26" t="n">
        <v>26</v>
      </c>
      <c r="Q254" s="26" t="n">
        <v>3</v>
      </c>
      <c r="R254" s="26">
        <f>INDEX(Progreso!$AZ$2:$BI$41,$P254,$Q254)</f>
        <v/>
      </c>
      <c r="S254" s="18">
        <f>IF(INDEX(Progreso!$AB$2:$AK$41,$P254,$Q254)=0,"",INDEX(Progreso!$AB$2:$AK$41,$P254,$Q254))</f>
        <v/>
      </c>
      <c r="T254" s="26">
        <f>IF($R254=0,"",COUNTIFS($R$2:$R$401,"&gt;0",$R$2:$R$401,"&lt;"&amp;$R254)+COUNTIFS($R$2:R254,"="&amp;$R254))</f>
        <v/>
      </c>
      <c r="V254" s="26">
        <f>IFERROR(MATCH(ROW()-ROW($V$12),$T$2:$T$401,0),"")</f>
        <v/>
      </c>
    </row>
    <row r="255" ht="22.5" customHeight="1">
      <c r="A255" s="78">
        <f>IF($V255="","",INDEX($R$2:$R$401,$V255))</f>
        <v/>
      </c>
      <c r="B255" s="2">
        <f>IF($V255="","",INDEX(DIAS_SEMANA,WEEKDAY(INDEX($R$2:$R$401,$V255),2)))</f>
        <v/>
      </c>
      <c r="C255" s="2">
        <f>IF($V255="","","Tema "&amp;INDEX($P$2:$P$401,$V255))</f>
        <v/>
      </c>
      <c r="D255" s="69">
        <f>IF($V255="","",INDEX($Q$2:$Q$401,$V255))</f>
        <v/>
      </c>
      <c r="E255" s="2">
        <f>IF($V255="","",IF(INDEX($S$2:$S$401,$V255)&lt;&gt;"",INDEX($S$2:$S$401,$V255),IF(INDEX($R$2:$R$401,$V255)&lt;$B$2,"Vencida",IF(INDEX($R$2:$R$401,$V255)=$B$2,"Hoy","Programada"))))</f>
        <v/>
      </c>
      <c r="P255" s="26" t="n">
        <v>26</v>
      </c>
      <c r="Q255" s="26" t="n">
        <v>4</v>
      </c>
      <c r="R255" s="26">
        <f>INDEX(Progreso!$AZ$2:$BI$41,$P255,$Q255)</f>
        <v/>
      </c>
      <c r="S255" s="18">
        <f>IF(INDEX(Progreso!$AB$2:$AK$41,$P255,$Q255)=0,"",INDEX(Progreso!$AB$2:$AK$41,$P255,$Q255))</f>
        <v/>
      </c>
      <c r="T255" s="26">
        <f>IF($R255=0,"",COUNTIFS($R$2:$R$401,"&gt;0",$R$2:$R$401,"&lt;"&amp;$R255)+COUNTIFS($R$2:R255,"="&amp;$R255))</f>
        <v/>
      </c>
      <c r="V255" s="26">
        <f>IFERROR(MATCH(ROW()-ROW($V$12),$T$2:$T$401,0),"")</f>
        <v/>
      </c>
    </row>
    <row r="256" ht="22.5" customHeight="1">
      <c r="A256" s="85">
        <f>IF($V256="","",INDEX($R$2:$R$401,$V256))</f>
        <v/>
      </c>
      <c r="B256" s="4">
        <f>IF($V256="","",INDEX(DIAS_SEMANA,WEEKDAY(INDEX($R$2:$R$401,$V256),2)))</f>
        <v/>
      </c>
      <c r="C256" s="4">
        <f>IF($V256="","","Tema "&amp;INDEX($P$2:$P$401,$V256))</f>
        <v/>
      </c>
      <c r="D256" s="70">
        <f>IF($V256="","",INDEX($Q$2:$Q$401,$V256))</f>
        <v/>
      </c>
      <c r="E256" s="4">
        <f>IF($V256="","",IF(INDEX($S$2:$S$401,$V256)&lt;&gt;"",INDEX($S$2:$S$401,$V256),IF(INDEX($R$2:$R$401,$V256)&lt;$B$2,"Vencida",IF(INDEX($R$2:$R$401,$V256)=$B$2,"Hoy","Programada"))))</f>
        <v/>
      </c>
      <c r="P256" s="26" t="n">
        <v>26</v>
      </c>
      <c r="Q256" s="26" t="n">
        <v>5</v>
      </c>
      <c r="R256" s="26">
        <f>INDEX(Progreso!$AZ$2:$BI$41,$P256,$Q256)</f>
        <v/>
      </c>
      <c r="S256" s="18">
        <f>IF(INDEX(Progreso!$AB$2:$AK$41,$P256,$Q256)=0,"",INDEX(Progreso!$AB$2:$AK$41,$P256,$Q256))</f>
        <v/>
      </c>
      <c r="T256" s="26">
        <f>IF($R256=0,"",COUNTIFS($R$2:$R$401,"&gt;0",$R$2:$R$401,"&lt;"&amp;$R256)+COUNTIFS($R$2:R256,"="&amp;$R256))</f>
        <v/>
      </c>
      <c r="V256" s="26">
        <f>IFERROR(MATCH(ROW()-ROW($V$12),$T$2:$T$401,0),"")</f>
        <v/>
      </c>
    </row>
    <row r="257" ht="22.5" customHeight="1">
      <c r="A257" s="78">
        <f>IF($V257="","",INDEX($R$2:$R$401,$V257))</f>
        <v/>
      </c>
      <c r="B257" s="2">
        <f>IF($V257="","",INDEX(DIAS_SEMANA,WEEKDAY(INDEX($R$2:$R$401,$V257),2)))</f>
        <v/>
      </c>
      <c r="C257" s="2">
        <f>IF($V257="","","Tema "&amp;INDEX($P$2:$P$401,$V257))</f>
        <v/>
      </c>
      <c r="D257" s="69">
        <f>IF($V257="","",INDEX($Q$2:$Q$401,$V257))</f>
        <v/>
      </c>
      <c r="E257" s="2">
        <f>IF($V257="","",IF(INDEX($S$2:$S$401,$V257)&lt;&gt;"",INDEX($S$2:$S$401,$V257),IF(INDEX($R$2:$R$401,$V257)&lt;$B$2,"Vencida",IF(INDEX($R$2:$R$401,$V257)=$B$2,"Hoy","Programada"))))</f>
        <v/>
      </c>
      <c r="P257" s="26" t="n">
        <v>26</v>
      </c>
      <c r="Q257" s="26" t="n">
        <v>6</v>
      </c>
      <c r="R257" s="26">
        <f>INDEX(Progreso!$AZ$2:$BI$41,$P257,$Q257)</f>
        <v/>
      </c>
      <c r="S257" s="18">
        <f>IF(INDEX(Progreso!$AB$2:$AK$41,$P257,$Q257)=0,"",INDEX(Progreso!$AB$2:$AK$41,$P257,$Q257))</f>
        <v/>
      </c>
      <c r="T257" s="26">
        <f>IF($R257=0,"",COUNTIFS($R$2:$R$401,"&gt;0",$R$2:$R$401,"&lt;"&amp;$R257)+COUNTIFS($R$2:R257,"="&amp;$R257))</f>
        <v/>
      </c>
      <c r="V257" s="26">
        <f>IFERROR(MATCH(ROW()-ROW($V$12),$T$2:$T$401,0),"")</f>
        <v/>
      </c>
    </row>
    <row r="258" ht="22.5" customHeight="1">
      <c r="A258" s="85">
        <f>IF($V258="","",INDEX($R$2:$R$401,$V258))</f>
        <v/>
      </c>
      <c r="B258" s="4">
        <f>IF($V258="","",INDEX(DIAS_SEMANA,WEEKDAY(INDEX($R$2:$R$401,$V258),2)))</f>
        <v/>
      </c>
      <c r="C258" s="4">
        <f>IF($V258="","","Tema "&amp;INDEX($P$2:$P$401,$V258))</f>
        <v/>
      </c>
      <c r="D258" s="70">
        <f>IF($V258="","",INDEX($Q$2:$Q$401,$V258))</f>
        <v/>
      </c>
      <c r="E258" s="4">
        <f>IF($V258="","",IF(INDEX($S$2:$S$401,$V258)&lt;&gt;"",INDEX($S$2:$S$401,$V258),IF(INDEX($R$2:$R$401,$V258)&lt;$B$2,"Vencida",IF(INDEX($R$2:$R$401,$V258)=$B$2,"Hoy","Programada"))))</f>
        <v/>
      </c>
      <c r="P258" s="26" t="n">
        <v>26</v>
      </c>
      <c r="Q258" s="26" t="n">
        <v>7</v>
      </c>
      <c r="R258" s="26">
        <f>INDEX(Progreso!$AZ$2:$BI$41,$P258,$Q258)</f>
        <v/>
      </c>
      <c r="S258" s="18">
        <f>IF(INDEX(Progreso!$AB$2:$AK$41,$P258,$Q258)=0,"",INDEX(Progreso!$AB$2:$AK$41,$P258,$Q258))</f>
        <v/>
      </c>
      <c r="T258" s="26">
        <f>IF($R258=0,"",COUNTIFS($R$2:$R$401,"&gt;0",$R$2:$R$401,"&lt;"&amp;$R258)+COUNTIFS($R$2:R258,"="&amp;$R258))</f>
        <v/>
      </c>
      <c r="V258" s="26">
        <f>IFERROR(MATCH(ROW()-ROW($V$12),$T$2:$T$401,0),"")</f>
        <v/>
      </c>
    </row>
    <row r="259" ht="22.5" customHeight="1">
      <c r="A259" s="78">
        <f>IF($V259="","",INDEX($R$2:$R$401,$V259))</f>
        <v/>
      </c>
      <c r="B259" s="2">
        <f>IF($V259="","",INDEX(DIAS_SEMANA,WEEKDAY(INDEX($R$2:$R$401,$V259),2)))</f>
        <v/>
      </c>
      <c r="C259" s="2">
        <f>IF($V259="","","Tema "&amp;INDEX($P$2:$P$401,$V259))</f>
        <v/>
      </c>
      <c r="D259" s="69">
        <f>IF($V259="","",INDEX($Q$2:$Q$401,$V259))</f>
        <v/>
      </c>
      <c r="E259" s="2">
        <f>IF($V259="","",IF(INDEX($S$2:$S$401,$V259)&lt;&gt;"",INDEX($S$2:$S$401,$V259),IF(INDEX($R$2:$R$401,$V259)&lt;$B$2,"Vencida",IF(INDEX($R$2:$R$401,$V259)=$B$2,"Hoy","Programada"))))</f>
        <v/>
      </c>
      <c r="P259" s="26" t="n">
        <v>26</v>
      </c>
      <c r="Q259" s="26" t="n">
        <v>8</v>
      </c>
      <c r="R259" s="26">
        <f>INDEX(Progreso!$AZ$2:$BI$41,$P259,$Q259)</f>
        <v/>
      </c>
      <c r="S259" s="18">
        <f>IF(INDEX(Progreso!$AB$2:$AK$41,$P259,$Q259)=0,"",INDEX(Progreso!$AB$2:$AK$41,$P259,$Q259))</f>
        <v/>
      </c>
      <c r="T259" s="26">
        <f>IF($R259=0,"",COUNTIFS($R$2:$R$401,"&gt;0",$R$2:$R$401,"&lt;"&amp;$R259)+COUNTIFS($R$2:R259,"="&amp;$R259))</f>
        <v/>
      </c>
      <c r="V259" s="26">
        <f>IFERROR(MATCH(ROW()-ROW($V$12),$T$2:$T$401,0),"")</f>
        <v/>
      </c>
    </row>
    <row r="260" ht="22.5" customHeight="1">
      <c r="A260" s="85">
        <f>IF($V260="","",INDEX($R$2:$R$401,$V260))</f>
        <v/>
      </c>
      <c r="B260" s="4">
        <f>IF($V260="","",INDEX(DIAS_SEMANA,WEEKDAY(INDEX($R$2:$R$401,$V260),2)))</f>
        <v/>
      </c>
      <c r="C260" s="4">
        <f>IF($V260="","","Tema "&amp;INDEX($P$2:$P$401,$V260))</f>
        <v/>
      </c>
      <c r="D260" s="70">
        <f>IF($V260="","",INDEX($Q$2:$Q$401,$V260))</f>
        <v/>
      </c>
      <c r="E260" s="4">
        <f>IF($V260="","",IF(INDEX($S$2:$S$401,$V260)&lt;&gt;"",INDEX($S$2:$S$401,$V260),IF(INDEX($R$2:$R$401,$V260)&lt;$B$2,"Vencida",IF(INDEX($R$2:$R$401,$V260)=$B$2,"Hoy","Programada"))))</f>
        <v/>
      </c>
      <c r="P260" s="26" t="n">
        <v>26</v>
      </c>
      <c r="Q260" s="26" t="n">
        <v>9</v>
      </c>
      <c r="R260" s="26">
        <f>INDEX(Progreso!$AZ$2:$BI$41,$P260,$Q260)</f>
        <v/>
      </c>
      <c r="S260" s="18">
        <f>IF(INDEX(Progreso!$AB$2:$AK$41,$P260,$Q260)=0,"",INDEX(Progreso!$AB$2:$AK$41,$P260,$Q260))</f>
        <v/>
      </c>
      <c r="T260" s="26">
        <f>IF($R260=0,"",COUNTIFS($R$2:$R$401,"&gt;0",$R$2:$R$401,"&lt;"&amp;$R260)+COUNTIFS($R$2:R260,"="&amp;$R260))</f>
        <v/>
      </c>
      <c r="V260" s="26">
        <f>IFERROR(MATCH(ROW()-ROW($V$12),$T$2:$T$401,0),"")</f>
        <v/>
      </c>
    </row>
    <row r="261" ht="22.5" customHeight="1">
      <c r="A261" s="78">
        <f>IF($V261="","",INDEX($R$2:$R$401,$V261))</f>
        <v/>
      </c>
      <c r="B261" s="2">
        <f>IF($V261="","",INDEX(DIAS_SEMANA,WEEKDAY(INDEX($R$2:$R$401,$V261),2)))</f>
        <v/>
      </c>
      <c r="C261" s="2">
        <f>IF($V261="","","Tema "&amp;INDEX($P$2:$P$401,$V261))</f>
        <v/>
      </c>
      <c r="D261" s="69">
        <f>IF($V261="","",INDEX($Q$2:$Q$401,$V261))</f>
        <v/>
      </c>
      <c r="E261" s="2">
        <f>IF($V261="","",IF(INDEX($S$2:$S$401,$V261)&lt;&gt;"",INDEX($S$2:$S$401,$V261),IF(INDEX($R$2:$R$401,$V261)&lt;$B$2,"Vencida",IF(INDEX($R$2:$R$401,$V261)=$B$2,"Hoy","Programada"))))</f>
        <v/>
      </c>
      <c r="P261" s="26" t="n">
        <v>26</v>
      </c>
      <c r="Q261" s="26" t="n">
        <v>10</v>
      </c>
      <c r="R261" s="26">
        <f>INDEX(Progreso!$AZ$2:$BI$41,$P261,$Q261)</f>
        <v/>
      </c>
      <c r="S261" s="18">
        <f>IF(INDEX(Progreso!$AB$2:$AK$41,$P261,$Q261)=0,"",INDEX(Progreso!$AB$2:$AK$41,$P261,$Q261))</f>
        <v/>
      </c>
      <c r="T261" s="26">
        <f>IF($R261=0,"",COUNTIFS($R$2:$R$401,"&gt;0",$R$2:$R$401,"&lt;"&amp;$R261)+COUNTIFS($R$2:R261,"="&amp;$R261))</f>
        <v/>
      </c>
      <c r="V261" s="26">
        <f>IFERROR(MATCH(ROW()-ROW($V$12),$T$2:$T$401,0),"")</f>
        <v/>
      </c>
    </row>
    <row r="262" ht="22.5" customHeight="1">
      <c r="A262" s="85">
        <f>IF($V262="","",INDEX($R$2:$R$401,$V262))</f>
        <v/>
      </c>
      <c r="B262" s="4">
        <f>IF($V262="","",INDEX(DIAS_SEMANA,WEEKDAY(INDEX($R$2:$R$401,$V262),2)))</f>
        <v/>
      </c>
      <c r="C262" s="4">
        <f>IF($V262="","","Tema "&amp;INDEX($P$2:$P$401,$V262))</f>
        <v/>
      </c>
      <c r="D262" s="70">
        <f>IF($V262="","",INDEX($Q$2:$Q$401,$V262))</f>
        <v/>
      </c>
      <c r="E262" s="4">
        <f>IF($V262="","",IF(INDEX($S$2:$S$401,$V262)&lt;&gt;"",INDEX($S$2:$S$401,$V262),IF(INDEX($R$2:$R$401,$V262)&lt;$B$2,"Vencida",IF(INDEX($R$2:$R$401,$V262)=$B$2,"Hoy","Programada"))))</f>
        <v/>
      </c>
      <c r="P262" s="26" t="n">
        <v>27</v>
      </c>
      <c r="Q262" s="26" t="n">
        <v>1</v>
      </c>
      <c r="R262" s="26">
        <f>INDEX(Progreso!$AZ$2:$BI$41,$P262,$Q262)</f>
        <v/>
      </c>
      <c r="S262" s="18">
        <f>IF(INDEX(Progreso!$AB$2:$AK$41,$P262,$Q262)=0,"",INDEX(Progreso!$AB$2:$AK$41,$P262,$Q262))</f>
        <v/>
      </c>
      <c r="T262" s="26">
        <f>IF($R262=0,"",COUNTIFS($R$2:$R$401,"&gt;0",$R$2:$R$401,"&lt;"&amp;$R262)+COUNTIFS($R$2:R262,"="&amp;$R262))</f>
        <v/>
      </c>
      <c r="V262" s="26">
        <f>IFERROR(MATCH(ROW()-ROW($V$12),$T$2:$T$401,0),"")</f>
        <v/>
      </c>
    </row>
    <row r="263" ht="22.5" customHeight="1">
      <c r="A263" s="78">
        <f>IF($V263="","",INDEX($R$2:$R$401,$V263))</f>
        <v/>
      </c>
      <c r="B263" s="2">
        <f>IF($V263="","",INDEX(DIAS_SEMANA,WEEKDAY(INDEX($R$2:$R$401,$V263),2)))</f>
        <v/>
      </c>
      <c r="C263" s="2">
        <f>IF($V263="","","Tema "&amp;INDEX($P$2:$P$401,$V263))</f>
        <v/>
      </c>
      <c r="D263" s="69">
        <f>IF($V263="","",INDEX($Q$2:$Q$401,$V263))</f>
        <v/>
      </c>
      <c r="E263" s="2">
        <f>IF($V263="","",IF(INDEX($S$2:$S$401,$V263)&lt;&gt;"",INDEX($S$2:$S$401,$V263),IF(INDEX($R$2:$R$401,$V263)&lt;$B$2,"Vencida",IF(INDEX($R$2:$R$401,$V263)=$B$2,"Hoy","Programada"))))</f>
        <v/>
      </c>
      <c r="P263" s="26" t="n">
        <v>27</v>
      </c>
      <c r="Q263" s="26" t="n">
        <v>2</v>
      </c>
      <c r="R263" s="26">
        <f>INDEX(Progreso!$AZ$2:$BI$41,$P263,$Q263)</f>
        <v/>
      </c>
      <c r="S263" s="18">
        <f>IF(INDEX(Progreso!$AB$2:$AK$41,$P263,$Q263)=0,"",INDEX(Progreso!$AB$2:$AK$41,$P263,$Q263))</f>
        <v/>
      </c>
      <c r="T263" s="26">
        <f>IF($R263=0,"",COUNTIFS($R$2:$R$401,"&gt;0",$R$2:$R$401,"&lt;"&amp;$R263)+COUNTIFS($R$2:R263,"="&amp;$R263))</f>
        <v/>
      </c>
      <c r="V263" s="26">
        <f>IFERROR(MATCH(ROW()-ROW($V$12),$T$2:$T$401,0),"")</f>
        <v/>
      </c>
    </row>
    <row r="264" ht="22.5" customHeight="1">
      <c r="A264" s="85">
        <f>IF($V264="","",INDEX($R$2:$R$401,$V264))</f>
        <v/>
      </c>
      <c r="B264" s="4">
        <f>IF($V264="","",INDEX(DIAS_SEMANA,WEEKDAY(INDEX($R$2:$R$401,$V264),2)))</f>
        <v/>
      </c>
      <c r="C264" s="4">
        <f>IF($V264="","","Tema "&amp;INDEX($P$2:$P$401,$V264))</f>
        <v/>
      </c>
      <c r="D264" s="70">
        <f>IF($V264="","",INDEX($Q$2:$Q$401,$V264))</f>
        <v/>
      </c>
      <c r="E264" s="4">
        <f>IF($V264="","",IF(INDEX($S$2:$S$401,$V264)&lt;&gt;"",INDEX($S$2:$S$401,$V264),IF(INDEX($R$2:$R$401,$V264)&lt;$B$2,"Vencida",IF(INDEX($R$2:$R$401,$V264)=$B$2,"Hoy","Programada"))))</f>
        <v/>
      </c>
      <c r="P264" s="26" t="n">
        <v>27</v>
      </c>
      <c r="Q264" s="26" t="n">
        <v>3</v>
      </c>
      <c r="R264" s="26">
        <f>INDEX(Progreso!$AZ$2:$BI$41,$P264,$Q264)</f>
        <v/>
      </c>
      <c r="S264" s="18">
        <f>IF(INDEX(Progreso!$AB$2:$AK$41,$P264,$Q264)=0,"",INDEX(Progreso!$AB$2:$AK$41,$P264,$Q264))</f>
        <v/>
      </c>
      <c r="T264" s="26">
        <f>IF($R264=0,"",COUNTIFS($R$2:$R$401,"&gt;0",$R$2:$R$401,"&lt;"&amp;$R264)+COUNTIFS($R$2:R264,"="&amp;$R264))</f>
        <v/>
      </c>
      <c r="V264" s="26">
        <f>IFERROR(MATCH(ROW()-ROW($V$12),$T$2:$T$401,0),"")</f>
        <v/>
      </c>
    </row>
    <row r="265" ht="22.5" customHeight="1">
      <c r="A265" s="78">
        <f>IF($V265="","",INDEX($R$2:$R$401,$V265))</f>
        <v/>
      </c>
      <c r="B265" s="2">
        <f>IF($V265="","",INDEX(DIAS_SEMANA,WEEKDAY(INDEX($R$2:$R$401,$V265),2)))</f>
        <v/>
      </c>
      <c r="C265" s="2">
        <f>IF($V265="","","Tema "&amp;INDEX($P$2:$P$401,$V265))</f>
        <v/>
      </c>
      <c r="D265" s="69">
        <f>IF($V265="","",INDEX($Q$2:$Q$401,$V265))</f>
        <v/>
      </c>
      <c r="E265" s="2">
        <f>IF($V265="","",IF(INDEX($S$2:$S$401,$V265)&lt;&gt;"",INDEX($S$2:$S$401,$V265),IF(INDEX($R$2:$R$401,$V265)&lt;$B$2,"Vencida",IF(INDEX($R$2:$R$401,$V265)=$B$2,"Hoy","Programada"))))</f>
        <v/>
      </c>
      <c r="P265" s="26" t="n">
        <v>27</v>
      </c>
      <c r="Q265" s="26" t="n">
        <v>4</v>
      </c>
      <c r="R265" s="26">
        <f>INDEX(Progreso!$AZ$2:$BI$41,$P265,$Q265)</f>
        <v/>
      </c>
      <c r="S265" s="18">
        <f>IF(INDEX(Progreso!$AB$2:$AK$41,$P265,$Q265)=0,"",INDEX(Progreso!$AB$2:$AK$41,$P265,$Q265))</f>
        <v/>
      </c>
      <c r="T265" s="26">
        <f>IF($R265=0,"",COUNTIFS($R$2:$R$401,"&gt;0",$R$2:$R$401,"&lt;"&amp;$R265)+COUNTIFS($R$2:R265,"="&amp;$R265))</f>
        <v/>
      </c>
      <c r="V265" s="26">
        <f>IFERROR(MATCH(ROW()-ROW($V$12),$T$2:$T$401,0),"")</f>
        <v/>
      </c>
    </row>
    <row r="266" ht="22.5" customHeight="1">
      <c r="A266" s="85">
        <f>IF($V266="","",INDEX($R$2:$R$401,$V266))</f>
        <v/>
      </c>
      <c r="B266" s="4">
        <f>IF($V266="","",INDEX(DIAS_SEMANA,WEEKDAY(INDEX($R$2:$R$401,$V266),2)))</f>
        <v/>
      </c>
      <c r="C266" s="4">
        <f>IF($V266="","","Tema "&amp;INDEX($P$2:$P$401,$V266))</f>
        <v/>
      </c>
      <c r="D266" s="70">
        <f>IF($V266="","",INDEX($Q$2:$Q$401,$V266))</f>
        <v/>
      </c>
      <c r="E266" s="4">
        <f>IF($V266="","",IF(INDEX($S$2:$S$401,$V266)&lt;&gt;"",INDEX($S$2:$S$401,$V266),IF(INDEX($R$2:$R$401,$V266)&lt;$B$2,"Vencida",IF(INDEX($R$2:$R$401,$V266)=$B$2,"Hoy","Programada"))))</f>
        <v/>
      </c>
      <c r="P266" s="26" t="n">
        <v>27</v>
      </c>
      <c r="Q266" s="26" t="n">
        <v>5</v>
      </c>
      <c r="R266" s="26">
        <f>INDEX(Progreso!$AZ$2:$BI$41,$P266,$Q266)</f>
        <v/>
      </c>
      <c r="S266" s="18">
        <f>IF(INDEX(Progreso!$AB$2:$AK$41,$P266,$Q266)=0,"",INDEX(Progreso!$AB$2:$AK$41,$P266,$Q266))</f>
        <v/>
      </c>
      <c r="T266" s="26">
        <f>IF($R266=0,"",COUNTIFS($R$2:$R$401,"&gt;0",$R$2:$R$401,"&lt;"&amp;$R266)+COUNTIFS($R$2:R266,"="&amp;$R266))</f>
        <v/>
      </c>
      <c r="V266" s="26">
        <f>IFERROR(MATCH(ROW()-ROW($V$12),$T$2:$T$401,0),"")</f>
        <v/>
      </c>
    </row>
    <row r="267" ht="22.5" customHeight="1">
      <c r="A267" s="78">
        <f>IF($V267="","",INDEX($R$2:$R$401,$V267))</f>
        <v/>
      </c>
      <c r="B267" s="2">
        <f>IF($V267="","",INDEX(DIAS_SEMANA,WEEKDAY(INDEX($R$2:$R$401,$V267),2)))</f>
        <v/>
      </c>
      <c r="C267" s="2">
        <f>IF($V267="","","Tema "&amp;INDEX($P$2:$P$401,$V267))</f>
        <v/>
      </c>
      <c r="D267" s="69">
        <f>IF($V267="","",INDEX($Q$2:$Q$401,$V267))</f>
        <v/>
      </c>
      <c r="E267" s="2">
        <f>IF($V267="","",IF(INDEX($S$2:$S$401,$V267)&lt;&gt;"",INDEX($S$2:$S$401,$V267),IF(INDEX($R$2:$R$401,$V267)&lt;$B$2,"Vencida",IF(INDEX($R$2:$R$401,$V267)=$B$2,"Hoy","Programada"))))</f>
        <v/>
      </c>
      <c r="P267" s="26" t="n">
        <v>27</v>
      </c>
      <c r="Q267" s="26" t="n">
        <v>6</v>
      </c>
      <c r="R267" s="26">
        <f>INDEX(Progreso!$AZ$2:$BI$41,$P267,$Q267)</f>
        <v/>
      </c>
      <c r="S267" s="18">
        <f>IF(INDEX(Progreso!$AB$2:$AK$41,$P267,$Q267)=0,"",INDEX(Progreso!$AB$2:$AK$41,$P267,$Q267))</f>
        <v/>
      </c>
      <c r="T267" s="26">
        <f>IF($R267=0,"",COUNTIFS($R$2:$R$401,"&gt;0",$R$2:$R$401,"&lt;"&amp;$R267)+COUNTIFS($R$2:R267,"="&amp;$R267))</f>
        <v/>
      </c>
      <c r="V267" s="26">
        <f>IFERROR(MATCH(ROW()-ROW($V$12),$T$2:$T$401,0),"")</f>
        <v/>
      </c>
    </row>
    <row r="268" ht="22.5" customHeight="1">
      <c r="A268" s="85">
        <f>IF($V268="","",INDEX($R$2:$R$401,$V268))</f>
        <v/>
      </c>
      <c r="B268" s="4">
        <f>IF($V268="","",INDEX(DIAS_SEMANA,WEEKDAY(INDEX($R$2:$R$401,$V268),2)))</f>
        <v/>
      </c>
      <c r="C268" s="4">
        <f>IF($V268="","","Tema "&amp;INDEX($P$2:$P$401,$V268))</f>
        <v/>
      </c>
      <c r="D268" s="70">
        <f>IF($V268="","",INDEX($Q$2:$Q$401,$V268))</f>
        <v/>
      </c>
      <c r="E268" s="4">
        <f>IF($V268="","",IF(INDEX($S$2:$S$401,$V268)&lt;&gt;"",INDEX($S$2:$S$401,$V268),IF(INDEX($R$2:$R$401,$V268)&lt;$B$2,"Vencida",IF(INDEX($R$2:$R$401,$V268)=$B$2,"Hoy","Programada"))))</f>
        <v/>
      </c>
      <c r="P268" s="26" t="n">
        <v>27</v>
      </c>
      <c r="Q268" s="26" t="n">
        <v>7</v>
      </c>
      <c r="R268" s="26">
        <f>INDEX(Progreso!$AZ$2:$BI$41,$P268,$Q268)</f>
        <v/>
      </c>
      <c r="S268" s="18">
        <f>IF(INDEX(Progreso!$AB$2:$AK$41,$P268,$Q268)=0,"",INDEX(Progreso!$AB$2:$AK$41,$P268,$Q268))</f>
        <v/>
      </c>
      <c r="T268" s="26">
        <f>IF($R268=0,"",COUNTIFS($R$2:$R$401,"&gt;0",$R$2:$R$401,"&lt;"&amp;$R268)+COUNTIFS($R$2:R268,"="&amp;$R268))</f>
        <v/>
      </c>
      <c r="V268" s="26">
        <f>IFERROR(MATCH(ROW()-ROW($V$12),$T$2:$T$401,0),"")</f>
        <v/>
      </c>
    </row>
    <row r="269" ht="22.5" customHeight="1">
      <c r="A269" s="78">
        <f>IF($V269="","",INDEX($R$2:$R$401,$V269))</f>
        <v/>
      </c>
      <c r="B269" s="2">
        <f>IF($V269="","",INDEX(DIAS_SEMANA,WEEKDAY(INDEX($R$2:$R$401,$V269),2)))</f>
        <v/>
      </c>
      <c r="C269" s="2">
        <f>IF($V269="","","Tema "&amp;INDEX($P$2:$P$401,$V269))</f>
        <v/>
      </c>
      <c r="D269" s="69">
        <f>IF($V269="","",INDEX($Q$2:$Q$401,$V269))</f>
        <v/>
      </c>
      <c r="E269" s="2">
        <f>IF($V269="","",IF(INDEX($S$2:$S$401,$V269)&lt;&gt;"",INDEX($S$2:$S$401,$V269),IF(INDEX($R$2:$R$401,$V269)&lt;$B$2,"Vencida",IF(INDEX($R$2:$R$401,$V269)=$B$2,"Hoy","Programada"))))</f>
        <v/>
      </c>
      <c r="P269" s="26" t="n">
        <v>27</v>
      </c>
      <c r="Q269" s="26" t="n">
        <v>8</v>
      </c>
      <c r="R269" s="26">
        <f>INDEX(Progreso!$AZ$2:$BI$41,$P269,$Q269)</f>
        <v/>
      </c>
      <c r="S269" s="18">
        <f>IF(INDEX(Progreso!$AB$2:$AK$41,$P269,$Q269)=0,"",INDEX(Progreso!$AB$2:$AK$41,$P269,$Q269))</f>
        <v/>
      </c>
      <c r="T269" s="26">
        <f>IF($R269=0,"",COUNTIFS($R$2:$R$401,"&gt;0",$R$2:$R$401,"&lt;"&amp;$R269)+COUNTIFS($R$2:R269,"="&amp;$R269))</f>
        <v/>
      </c>
      <c r="V269" s="26">
        <f>IFERROR(MATCH(ROW()-ROW($V$12),$T$2:$T$401,0),"")</f>
        <v/>
      </c>
    </row>
    <row r="270" ht="22.5" customHeight="1">
      <c r="A270" s="85">
        <f>IF($V270="","",INDEX($R$2:$R$401,$V270))</f>
        <v/>
      </c>
      <c r="B270" s="4">
        <f>IF($V270="","",INDEX(DIAS_SEMANA,WEEKDAY(INDEX($R$2:$R$401,$V270),2)))</f>
        <v/>
      </c>
      <c r="C270" s="4">
        <f>IF($V270="","","Tema "&amp;INDEX($P$2:$P$401,$V270))</f>
        <v/>
      </c>
      <c r="D270" s="70">
        <f>IF($V270="","",INDEX($Q$2:$Q$401,$V270))</f>
        <v/>
      </c>
      <c r="E270" s="4">
        <f>IF($V270="","",IF(INDEX($S$2:$S$401,$V270)&lt;&gt;"",INDEX($S$2:$S$401,$V270),IF(INDEX($R$2:$R$401,$V270)&lt;$B$2,"Vencida",IF(INDEX($R$2:$R$401,$V270)=$B$2,"Hoy","Programada"))))</f>
        <v/>
      </c>
      <c r="P270" s="26" t="n">
        <v>27</v>
      </c>
      <c r="Q270" s="26" t="n">
        <v>9</v>
      </c>
      <c r="R270" s="26">
        <f>INDEX(Progreso!$AZ$2:$BI$41,$P270,$Q270)</f>
        <v/>
      </c>
      <c r="S270" s="18">
        <f>IF(INDEX(Progreso!$AB$2:$AK$41,$P270,$Q270)=0,"",INDEX(Progreso!$AB$2:$AK$41,$P270,$Q270))</f>
        <v/>
      </c>
      <c r="T270" s="26">
        <f>IF($R270=0,"",COUNTIFS($R$2:$R$401,"&gt;0",$R$2:$R$401,"&lt;"&amp;$R270)+COUNTIFS($R$2:R270,"="&amp;$R270))</f>
        <v/>
      </c>
      <c r="V270" s="26">
        <f>IFERROR(MATCH(ROW()-ROW($V$12),$T$2:$T$401,0),"")</f>
        <v/>
      </c>
    </row>
    <row r="271" ht="22.5" customHeight="1">
      <c r="A271" s="78">
        <f>IF($V271="","",INDEX($R$2:$R$401,$V271))</f>
        <v/>
      </c>
      <c r="B271" s="2">
        <f>IF($V271="","",INDEX(DIAS_SEMANA,WEEKDAY(INDEX($R$2:$R$401,$V271),2)))</f>
        <v/>
      </c>
      <c r="C271" s="2">
        <f>IF($V271="","","Tema "&amp;INDEX($P$2:$P$401,$V271))</f>
        <v/>
      </c>
      <c r="D271" s="69">
        <f>IF($V271="","",INDEX($Q$2:$Q$401,$V271))</f>
        <v/>
      </c>
      <c r="E271" s="2">
        <f>IF($V271="","",IF(INDEX($S$2:$S$401,$V271)&lt;&gt;"",INDEX($S$2:$S$401,$V271),IF(INDEX($R$2:$R$401,$V271)&lt;$B$2,"Vencida",IF(INDEX($R$2:$R$401,$V271)=$B$2,"Hoy","Programada"))))</f>
        <v/>
      </c>
      <c r="P271" s="26" t="n">
        <v>27</v>
      </c>
      <c r="Q271" s="26" t="n">
        <v>10</v>
      </c>
      <c r="R271" s="26">
        <f>INDEX(Progreso!$AZ$2:$BI$41,$P271,$Q271)</f>
        <v/>
      </c>
      <c r="S271" s="18">
        <f>IF(INDEX(Progreso!$AB$2:$AK$41,$P271,$Q271)=0,"",INDEX(Progreso!$AB$2:$AK$41,$P271,$Q271))</f>
        <v/>
      </c>
      <c r="T271" s="26">
        <f>IF($R271=0,"",COUNTIFS($R$2:$R$401,"&gt;0",$R$2:$R$401,"&lt;"&amp;$R271)+COUNTIFS($R$2:R271,"="&amp;$R271))</f>
        <v/>
      </c>
      <c r="V271" s="26">
        <f>IFERROR(MATCH(ROW()-ROW($V$12),$T$2:$T$401,0),"")</f>
        <v/>
      </c>
    </row>
    <row r="272" ht="22.5" customHeight="1">
      <c r="A272" s="85">
        <f>IF($V272="","",INDEX($R$2:$R$401,$V272))</f>
        <v/>
      </c>
      <c r="B272" s="4">
        <f>IF($V272="","",INDEX(DIAS_SEMANA,WEEKDAY(INDEX($R$2:$R$401,$V272),2)))</f>
        <v/>
      </c>
      <c r="C272" s="4">
        <f>IF($V272="","","Tema "&amp;INDEX($P$2:$P$401,$V272))</f>
        <v/>
      </c>
      <c r="D272" s="70">
        <f>IF($V272="","",INDEX($Q$2:$Q$401,$V272))</f>
        <v/>
      </c>
      <c r="E272" s="4">
        <f>IF($V272="","",IF(INDEX($S$2:$S$401,$V272)&lt;&gt;"",INDEX($S$2:$S$401,$V272),IF(INDEX($R$2:$R$401,$V272)&lt;$B$2,"Vencida",IF(INDEX($R$2:$R$401,$V272)=$B$2,"Hoy","Programada"))))</f>
        <v/>
      </c>
      <c r="P272" s="26" t="n">
        <v>28</v>
      </c>
      <c r="Q272" s="26" t="n">
        <v>1</v>
      </c>
      <c r="R272" s="26">
        <f>INDEX(Progreso!$AZ$2:$BI$41,$P272,$Q272)</f>
        <v/>
      </c>
      <c r="S272" s="18">
        <f>IF(INDEX(Progreso!$AB$2:$AK$41,$P272,$Q272)=0,"",INDEX(Progreso!$AB$2:$AK$41,$P272,$Q272))</f>
        <v/>
      </c>
      <c r="T272" s="26">
        <f>IF($R272=0,"",COUNTIFS($R$2:$R$401,"&gt;0",$R$2:$R$401,"&lt;"&amp;$R272)+COUNTIFS($R$2:R272,"="&amp;$R272))</f>
        <v/>
      </c>
      <c r="V272" s="26">
        <f>IFERROR(MATCH(ROW()-ROW($V$12),$T$2:$T$401,0),"")</f>
        <v/>
      </c>
    </row>
    <row r="273" ht="22.5" customHeight="1">
      <c r="A273" s="78">
        <f>IF($V273="","",INDEX($R$2:$R$401,$V273))</f>
        <v/>
      </c>
      <c r="B273" s="2">
        <f>IF($V273="","",INDEX(DIAS_SEMANA,WEEKDAY(INDEX($R$2:$R$401,$V273),2)))</f>
        <v/>
      </c>
      <c r="C273" s="2">
        <f>IF($V273="","","Tema "&amp;INDEX($P$2:$P$401,$V273))</f>
        <v/>
      </c>
      <c r="D273" s="69">
        <f>IF($V273="","",INDEX($Q$2:$Q$401,$V273))</f>
        <v/>
      </c>
      <c r="E273" s="2">
        <f>IF($V273="","",IF(INDEX($S$2:$S$401,$V273)&lt;&gt;"",INDEX($S$2:$S$401,$V273),IF(INDEX($R$2:$R$401,$V273)&lt;$B$2,"Vencida",IF(INDEX($R$2:$R$401,$V273)=$B$2,"Hoy","Programada"))))</f>
        <v/>
      </c>
      <c r="P273" s="26" t="n">
        <v>28</v>
      </c>
      <c r="Q273" s="26" t="n">
        <v>2</v>
      </c>
      <c r="R273" s="26">
        <f>INDEX(Progreso!$AZ$2:$BI$41,$P273,$Q273)</f>
        <v/>
      </c>
      <c r="S273" s="18">
        <f>IF(INDEX(Progreso!$AB$2:$AK$41,$P273,$Q273)=0,"",INDEX(Progreso!$AB$2:$AK$41,$P273,$Q273))</f>
        <v/>
      </c>
      <c r="T273" s="26">
        <f>IF($R273=0,"",COUNTIFS($R$2:$R$401,"&gt;0",$R$2:$R$401,"&lt;"&amp;$R273)+COUNTIFS($R$2:R273,"="&amp;$R273))</f>
        <v/>
      </c>
      <c r="V273" s="26">
        <f>IFERROR(MATCH(ROW()-ROW($V$12),$T$2:$T$401,0),"")</f>
        <v/>
      </c>
    </row>
    <row r="274" ht="22.5" customHeight="1">
      <c r="A274" s="85">
        <f>IF($V274="","",INDEX($R$2:$R$401,$V274))</f>
        <v/>
      </c>
      <c r="B274" s="4">
        <f>IF($V274="","",INDEX(DIAS_SEMANA,WEEKDAY(INDEX($R$2:$R$401,$V274),2)))</f>
        <v/>
      </c>
      <c r="C274" s="4">
        <f>IF($V274="","","Tema "&amp;INDEX($P$2:$P$401,$V274))</f>
        <v/>
      </c>
      <c r="D274" s="70">
        <f>IF($V274="","",INDEX($Q$2:$Q$401,$V274))</f>
        <v/>
      </c>
      <c r="E274" s="4">
        <f>IF($V274="","",IF(INDEX($S$2:$S$401,$V274)&lt;&gt;"",INDEX($S$2:$S$401,$V274),IF(INDEX($R$2:$R$401,$V274)&lt;$B$2,"Vencida",IF(INDEX($R$2:$R$401,$V274)=$B$2,"Hoy","Programada"))))</f>
        <v/>
      </c>
      <c r="P274" s="26" t="n">
        <v>28</v>
      </c>
      <c r="Q274" s="26" t="n">
        <v>3</v>
      </c>
      <c r="R274" s="26">
        <f>INDEX(Progreso!$AZ$2:$BI$41,$P274,$Q274)</f>
        <v/>
      </c>
      <c r="S274" s="18">
        <f>IF(INDEX(Progreso!$AB$2:$AK$41,$P274,$Q274)=0,"",INDEX(Progreso!$AB$2:$AK$41,$P274,$Q274))</f>
        <v/>
      </c>
      <c r="T274" s="26">
        <f>IF($R274=0,"",COUNTIFS($R$2:$R$401,"&gt;0",$R$2:$R$401,"&lt;"&amp;$R274)+COUNTIFS($R$2:R274,"="&amp;$R274))</f>
        <v/>
      </c>
      <c r="V274" s="26">
        <f>IFERROR(MATCH(ROW()-ROW($V$12),$T$2:$T$401,0),"")</f>
        <v/>
      </c>
    </row>
    <row r="275" ht="22.5" customHeight="1">
      <c r="A275" s="78">
        <f>IF($V275="","",INDEX($R$2:$R$401,$V275))</f>
        <v/>
      </c>
      <c r="B275" s="2">
        <f>IF($V275="","",INDEX(DIAS_SEMANA,WEEKDAY(INDEX($R$2:$R$401,$V275),2)))</f>
        <v/>
      </c>
      <c r="C275" s="2">
        <f>IF($V275="","","Tema "&amp;INDEX($P$2:$P$401,$V275))</f>
        <v/>
      </c>
      <c r="D275" s="69">
        <f>IF($V275="","",INDEX($Q$2:$Q$401,$V275))</f>
        <v/>
      </c>
      <c r="E275" s="2">
        <f>IF($V275="","",IF(INDEX($S$2:$S$401,$V275)&lt;&gt;"",INDEX($S$2:$S$401,$V275),IF(INDEX($R$2:$R$401,$V275)&lt;$B$2,"Vencida",IF(INDEX($R$2:$R$401,$V275)=$B$2,"Hoy","Programada"))))</f>
        <v/>
      </c>
      <c r="P275" s="26" t="n">
        <v>28</v>
      </c>
      <c r="Q275" s="26" t="n">
        <v>4</v>
      </c>
      <c r="R275" s="26">
        <f>INDEX(Progreso!$AZ$2:$BI$41,$P275,$Q275)</f>
        <v/>
      </c>
      <c r="S275" s="18">
        <f>IF(INDEX(Progreso!$AB$2:$AK$41,$P275,$Q275)=0,"",INDEX(Progreso!$AB$2:$AK$41,$P275,$Q275))</f>
        <v/>
      </c>
      <c r="T275" s="26">
        <f>IF($R275=0,"",COUNTIFS($R$2:$R$401,"&gt;0",$R$2:$R$401,"&lt;"&amp;$R275)+COUNTIFS($R$2:R275,"="&amp;$R275))</f>
        <v/>
      </c>
      <c r="V275" s="26">
        <f>IFERROR(MATCH(ROW()-ROW($V$12),$T$2:$T$401,0),"")</f>
        <v/>
      </c>
    </row>
    <row r="276" ht="22.5" customHeight="1">
      <c r="A276" s="85">
        <f>IF($V276="","",INDEX($R$2:$R$401,$V276))</f>
        <v/>
      </c>
      <c r="B276" s="4">
        <f>IF($V276="","",INDEX(DIAS_SEMANA,WEEKDAY(INDEX($R$2:$R$401,$V276),2)))</f>
        <v/>
      </c>
      <c r="C276" s="4">
        <f>IF($V276="","","Tema "&amp;INDEX($P$2:$P$401,$V276))</f>
        <v/>
      </c>
      <c r="D276" s="70">
        <f>IF($V276="","",INDEX($Q$2:$Q$401,$V276))</f>
        <v/>
      </c>
      <c r="E276" s="4">
        <f>IF($V276="","",IF(INDEX($S$2:$S$401,$V276)&lt;&gt;"",INDEX($S$2:$S$401,$V276),IF(INDEX($R$2:$R$401,$V276)&lt;$B$2,"Vencida",IF(INDEX($R$2:$R$401,$V276)=$B$2,"Hoy","Programada"))))</f>
        <v/>
      </c>
      <c r="P276" s="26" t="n">
        <v>28</v>
      </c>
      <c r="Q276" s="26" t="n">
        <v>5</v>
      </c>
      <c r="R276" s="26">
        <f>INDEX(Progreso!$AZ$2:$BI$41,$P276,$Q276)</f>
        <v/>
      </c>
      <c r="S276" s="18">
        <f>IF(INDEX(Progreso!$AB$2:$AK$41,$P276,$Q276)=0,"",INDEX(Progreso!$AB$2:$AK$41,$P276,$Q276))</f>
        <v/>
      </c>
      <c r="T276" s="26">
        <f>IF($R276=0,"",COUNTIFS($R$2:$R$401,"&gt;0",$R$2:$R$401,"&lt;"&amp;$R276)+COUNTIFS($R$2:R276,"="&amp;$R276))</f>
        <v/>
      </c>
      <c r="V276" s="26">
        <f>IFERROR(MATCH(ROW()-ROW($V$12),$T$2:$T$401,0),"")</f>
        <v/>
      </c>
    </row>
    <row r="277" ht="22.5" customHeight="1">
      <c r="A277" s="78">
        <f>IF($V277="","",INDEX($R$2:$R$401,$V277))</f>
        <v/>
      </c>
      <c r="B277" s="2">
        <f>IF($V277="","",INDEX(DIAS_SEMANA,WEEKDAY(INDEX($R$2:$R$401,$V277),2)))</f>
        <v/>
      </c>
      <c r="C277" s="2">
        <f>IF($V277="","","Tema "&amp;INDEX($P$2:$P$401,$V277))</f>
        <v/>
      </c>
      <c r="D277" s="69">
        <f>IF($V277="","",INDEX($Q$2:$Q$401,$V277))</f>
        <v/>
      </c>
      <c r="E277" s="2">
        <f>IF($V277="","",IF(INDEX($S$2:$S$401,$V277)&lt;&gt;"",INDEX($S$2:$S$401,$V277),IF(INDEX($R$2:$R$401,$V277)&lt;$B$2,"Vencida",IF(INDEX($R$2:$R$401,$V277)=$B$2,"Hoy","Programada"))))</f>
        <v/>
      </c>
      <c r="P277" s="26" t="n">
        <v>28</v>
      </c>
      <c r="Q277" s="26" t="n">
        <v>6</v>
      </c>
      <c r="R277" s="26">
        <f>INDEX(Progreso!$AZ$2:$BI$41,$P277,$Q277)</f>
        <v/>
      </c>
      <c r="S277" s="18">
        <f>IF(INDEX(Progreso!$AB$2:$AK$41,$P277,$Q277)=0,"",INDEX(Progreso!$AB$2:$AK$41,$P277,$Q277))</f>
        <v/>
      </c>
      <c r="T277" s="26">
        <f>IF($R277=0,"",COUNTIFS($R$2:$R$401,"&gt;0",$R$2:$R$401,"&lt;"&amp;$R277)+COUNTIFS($R$2:R277,"="&amp;$R277))</f>
        <v/>
      </c>
      <c r="V277" s="26">
        <f>IFERROR(MATCH(ROW()-ROW($V$12),$T$2:$T$401,0),"")</f>
        <v/>
      </c>
    </row>
    <row r="278" ht="22.5" customHeight="1">
      <c r="A278" s="85">
        <f>IF($V278="","",INDEX($R$2:$R$401,$V278))</f>
        <v/>
      </c>
      <c r="B278" s="4">
        <f>IF($V278="","",INDEX(DIAS_SEMANA,WEEKDAY(INDEX($R$2:$R$401,$V278),2)))</f>
        <v/>
      </c>
      <c r="C278" s="4">
        <f>IF($V278="","","Tema "&amp;INDEX($P$2:$P$401,$V278))</f>
        <v/>
      </c>
      <c r="D278" s="70">
        <f>IF($V278="","",INDEX($Q$2:$Q$401,$V278))</f>
        <v/>
      </c>
      <c r="E278" s="4">
        <f>IF($V278="","",IF(INDEX($S$2:$S$401,$V278)&lt;&gt;"",INDEX($S$2:$S$401,$V278),IF(INDEX($R$2:$R$401,$V278)&lt;$B$2,"Vencida",IF(INDEX($R$2:$R$401,$V278)=$B$2,"Hoy","Programada"))))</f>
        <v/>
      </c>
      <c r="P278" s="26" t="n">
        <v>28</v>
      </c>
      <c r="Q278" s="26" t="n">
        <v>7</v>
      </c>
      <c r="R278" s="26">
        <f>INDEX(Progreso!$AZ$2:$BI$41,$P278,$Q278)</f>
        <v/>
      </c>
      <c r="S278" s="18">
        <f>IF(INDEX(Progreso!$AB$2:$AK$41,$P278,$Q278)=0,"",INDEX(Progreso!$AB$2:$AK$41,$P278,$Q278))</f>
        <v/>
      </c>
      <c r="T278" s="26">
        <f>IF($R278=0,"",COUNTIFS($R$2:$R$401,"&gt;0",$R$2:$R$401,"&lt;"&amp;$R278)+COUNTIFS($R$2:R278,"="&amp;$R278))</f>
        <v/>
      </c>
      <c r="V278" s="26">
        <f>IFERROR(MATCH(ROW()-ROW($V$12),$T$2:$T$401,0),"")</f>
        <v/>
      </c>
    </row>
    <row r="279" ht="22.5" customHeight="1">
      <c r="A279" s="78">
        <f>IF($V279="","",INDEX($R$2:$R$401,$V279))</f>
        <v/>
      </c>
      <c r="B279" s="2">
        <f>IF($V279="","",INDEX(DIAS_SEMANA,WEEKDAY(INDEX($R$2:$R$401,$V279),2)))</f>
        <v/>
      </c>
      <c r="C279" s="2">
        <f>IF($V279="","","Tema "&amp;INDEX($P$2:$P$401,$V279))</f>
        <v/>
      </c>
      <c r="D279" s="69">
        <f>IF($V279="","",INDEX($Q$2:$Q$401,$V279))</f>
        <v/>
      </c>
      <c r="E279" s="2">
        <f>IF($V279="","",IF(INDEX($S$2:$S$401,$V279)&lt;&gt;"",INDEX($S$2:$S$401,$V279),IF(INDEX($R$2:$R$401,$V279)&lt;$B$2,"Vencida",IF(INDEX($R$2:$R$401,$V279)=$B$2,"Hoy","Programada"))))</f>
        <v/>
      </c>
      <c r="P279" s="26" t="n">
        <v>28</v>
      </c>
      <c r="Q279" s="26" t="n">
        <v>8</v>
      </c>
      <c r="R279" s="26">
        <f>INDEX(Progreso!$AZ$2:$BI$41,$P279,$Q279)</f>
        <v/>
      </c>
      <c r="S279" s="18">
        <f>IF(INDEX(Progreso!$AB$2:$AK$41,$P279,$Q279)=0,"",INDEX(Progreso!$AB$2:$AK$41,$P279,$Q279))</f>
        <v/>
      </c>
      <c r="T279" s="26">
        <f>IF($R279=0,"",COUNTIFS($R$2:$R$401,"&gt;0",$R$2:$R$401,"&lt;"&amp;$R279)+COUNTIFS($R$2:R279,"="&amp;$R279))</f>
        <v/>
      </c>
      <c r="V279" s="26">
        <f>IFERROR(MATCH(ROW()-ROW($V$12),$T$2:$T$401,0),"")</f>
        <v/>
      </c>
    </row>
    <row r="280" ht="22.5" customHeight="1">
      <c r="A280" s="85">
        <f>IF($V280="","",INDEX($R$2:$R$401,$V280))</f>
        <v/>
      </c>
      <c r="B280" s="4">
        <f>IF($V280="","",INDEX(DIAS_SEMANA,WEEKDAY(INDEX($R$2:$R$401,$V280),2)))</f>
        <v/>
      </c>
      <c r="C280" s="4">
        <f>IF($V280="","","Tema "&amp;INDEX($P$2:$P$401,$V280))</f>
        <v/>
      </c>
      <c r="D280" s="70">
        <f>IF($V280="","",INDEX($Q$2:$Q$401,$V280))</f>
        <v/>
      </c>
      <c r="E280" s="4">
        <f>IF($V280="","",IF(INDEX($S$2:$S$401,$V280)&lt;&gt;"",INDEX($S$2:$S$401,$V280),IF(INDEX($R$2:$R$401,$V280)&lt;$B$2,"Vencida",IF(INDEX($R$2:$R$401,$V280)=$B$2,"Hoy","Programada"))))</f>
        <v/>
      </c>
      <c r="P280" s="26" t="n">
        <v>28</v>
      </c>
      <c r="Q280" s="26" t="n">
        <v>9</v>
      </c>
      <c r="R280" s="26">
        <f>INDEX(Progreso!$AZ$2:$BI$41,$P280,$Q280)</f>
        <v/>
      </c>
      <c r="S280" s="18">
        <f>IF(INDEX(Progreso!$AB$2:$AK$41,$P280,$Q280)=0,"",INDEX(Progreso!$AB$2:$AK$41,$P280,$Q280))</f>
        <v/>
      </c>
      <c r="T280" s="26">
        <f>IF($R280=0,"",COUNTIFS($R$2:$R$401,"&gt;0",$R$2:$R$401,"&lt;"&amp;$R280)+COUNTIFS($R$2:R280,"="&amp;$R280))</f>
        <v/>
      </c>
      <c r="V280" s="26">
        <f>IFERROR(MATCH(ROW()-ROW($V$12),$T$2:$T$401,0),"")</f>
        <v/>
      </c>
    </row>
    <row r="281" ht="22.5" customHeight="1">
      <c r="A281" s="78">
        <f>IF($V281="","",INDEX($R$2:$R$401,$V281))</f>
        <v/>
      </c>
      <c r="B281" s="2">
        <f>IF($V281="","",INDEX(DIAS_SEMANA,WEEKDAY(INDEX($R$2:$R$401,$V281),2)))</f>
        <v/>
      </c>
      <c r="C281" s="2">
        <f>IF($V281="","","Tema "&amp;INDEX($P$2:$P$401,$V281))</f>
        <v/>
      </c>
      <c r="D281" s="69">
        <f>IF($V281="","",INDEX($Q$2:$Q$401,$V281))</f>
        <v/>
      </c>
      <c r="E281" s="2">
        <f>IF($V281="","",IF(INDEX($S$2:$S$401,$V281)&lt;&gt;"",INDEX($S$2:$S$401,$V281),IF(INDEX($R$2:$R$401,$V281)&lt;$B$2,"Vencida",IF(INDEX($R$2:$R$401,$V281)=$B$2,"Hoy","Programada"))))</f>
        <v/>
      </c>
      <c r="P281" s="26" t="n">
        <v>28</v>
      </c>
      <c r="Q281" s="26" t="n">
        <v>10</v>
      </c>
      <c r="R281" s="26">
        <f>INDEX(Progreso!$AZ$2:$BI$41,$P281,$Q281)</f>
        <v/>
      </c>
      <c r="S281" s="18">
        <f>IF(INDEX(Progreso!$AB$2:$AK$41,$P281,$Q281)=0,"",INDEX(Progreso!$AB$2:$AK$41,$P281,$Q281))</f>
        <v/>
      </c>
      <c r="T281" s="26">
        <f>IF($R281=0,"",COUNTIFS($R$2:$R$401,"&gt;0",$R$2:$R$401,"&lt;"&amp;$R281)+COUNTIFS($R$2:R281,"="&amp;$R281))</f>
        <v/>
      </c>
      <c r="V281" s="26">
        <f>IFERROR(MATCH(ROW()-ROW($V$12),$T$2:$T$401,0),"")</f>
        <v/>
      </c>
    </row>
    <row r="282" ht="22.5" customHeight="1">
      <c r="A282" s="85">
        <f>IF($V282="","",INDEX($R$2:$R$401,$V282))</f>
        <v/>
      </c>
      <c r="B282" s="4">
        <f>IF($V282="","",INDEX(DIAS_SEMANA,WEEKDAY(INDEX($R$2:$R$401,$V282),2)))</f>
        <v/>
      </c>
      <c r="C282" s="4">
        <f>IF($V282="","","Tema "&amp;INDEX($P$2:$P$401,$V282))</f>
        <v/>
      </c>
      <c r="D282" s="70">
        <f>IF($V282="","",INDEX($Q$2:$Q$401,$V282))</f>
        <v/>
      </c>
      <c r="E282" s="4">
        <f>IF($V282="","",IF(INDEX($S$2:$S$401,$V282)&lt;&gt;"",INDEX($S$2:$S$401,$V282),IF(INDEX($R$2:$R$401,$V282)&lt;$B$2,"Vencida",IF(INDEX($R$2:$R$401,$V282)=$B$2,"Hoy","Programada"))))</f>
        <v/>
      </c>
      <c r="P282" s="26" t="n">
        <v>29</v>
      </c>
      <c r="Q282" s="26" t="n">
        <v>1</v>
      </c>
      <c r="R282" s="26">
        <f>INDEX(Progreso!$AZ$2:$BI$41,$P282,$Q282)</f>
        <v/>
      </c>
      <c r="S282" s="18">
        <f>IF(INDEX(Progreso!$AB$2:$AK$41,$P282,$Q282)=0,"",INDEX(Progreso!$AB$2:$AK$41,$P282,$Q282))</f>
        <v/>
      </c>
      <c r="T282" s="26">
        <f>IF($R282=0,"",COUNTIFS($R$2:$R$401,"&gt;0",$R$2:$R$401,"&lt;"&amp;$R282)+COUNTIFS($R$2:R282,"="&amp;$R282))</f>
        <v/>
      </c>
      <c r="V282" s="26">
        <f>IFERROR(MATCH(ROW()-ROW($V$12),$T$2:$T$401,0),"")</f>
        <v/>
      </c>
    </row>
    <row r="283" ht="22.5" customHeight="1">
      <c r="A283" s="78">
        <f>IF($V283="","",INDEX($R$2:$R$401,$V283))</f>
        <v/>
      </c>
      <c r="B283" s="2">
        <f>IF($V283="","",INDEX(DIAS_SEMANA,WEEKDAY(INDEX($R$2:$R$401,$V283),2)))</f>
        <v/>
      </c>
      <c r="C283" s="2">
        <f>IF($V283="","","Tema "&amp;INDEX($P$2:$P$401,$V283))</f>
        <v/>
      </c>
      <c r="D283" s="69">
        <f>IF($V283="","",INDEX($Q$2:$Q$401,$V283))</f>
        <v/>
      </c>
      <c r="E283" s="2">
        <f>IF($V283="","",IF(INDEX($S$2:$S$401,$V283)&lt;&gt;"",INDEX($S$2:$S$401,$V283),IF(INDEX($R$2:$R$401,$V283)&lt;$B$2,"Vencida",IF(INDEX($R$2:$R$401,$V283)=$B$2,"Hoy","Programada"))))</f>
        <v/>
      </c>
      <c r="P283" s="26" t="n">
        <v>29</v>
      </c>
      <c r="Q283" s="26" t="n">
        <v>2</v>
      </c>
      <c r="R283" s="26">
        <f>INDEX(Progreso!$AZ$2:$BI$41,$P283,$Q283)</f>
        <v/>
      </c>
      <c r="S283" s="18">
        <f>IF(INDEX(Progreso!$AB$2:$AK$41,$P283,$Q283)=0,"",INDEX(Progreso!$AB$2:$AK$41,$P283,$Q283))</f>
        <v/>
      </c>
      <c r="T283" s="26">
        <f>IF($R283=0,"",COUNTIFS($R$2:$R$401,"&gt;0",$R$2:$R$401,"&lt;"&amp;$R283)+COUNTIFS($R$2:R283,"="&amp;$R283))</f>
        <v/>
      </c>
      <c r="V283" s="26">
        <f>IFERROR(MATCH(ROW()-ROW($V$12),$T$2:$T$401,0),"")</f>
        <v/>
      </c>
    </row>
    <row r="284" ht="22.5" customHeight="1">
      <c r="A284" s="85">
        <f>IF($V284="","",INDEX($R$2:$R$401,$V284))</f>
        <v/>
      </c>
      <c r="B284" s="4">
        <f>IF($V284="","",INDEX(DIAS_SEMANA,WEEKDAY(INDEX($R$2:$R$401,$V284),2)))</f>
        <v/>
      </c>
      <c r="C284" s="4">
        <f>IF($V284="","","Tema "&amp;INDEX($P$2:$P$401,$V284))</f>
        <v/>
      </c>
      <c r="D284" s="70">
        <f>IF($V284="","",INDEX($Q$2:$Q$401,$V284))</f>
        <v/>
      </c>
      <c r="E284" s="4">
        <f>IF($V284="","",IF(INDEX($S$2:$S$401,$V284)&lt;&gt;"",INDEX($S$2:$S$401,$V284),IF(INDEX($R$2:$R$401,$V284)&lt;$B$2,"Vencida",IF(INDEX($R$2:$R$401,$V284)=$B$2,"Hoy","Programada"))))</f>
        <v/>
      </c>
      <c r="P284" s="26" t="n">
        <v>29</v>
      </c>
      <c r="Q284" s="26" t="n">
        <v>3</v>
      </c>
      <c r="R284" s="26">
        <f>INDEX(Progreso!$AZ$2:$BI$41,$P284,$Q284)</f>
        <v/>
      </c>
      <c r="S284" s="18">
        <f>IF(INDEX(Progreso!$AB$2:$AK$41,$P284,$Q284)=0,"",INDEX(Progreso!$AB$2:$AK$41,$P284,$Q284))</f>
        <v/>
      </c>
      <c r="T284" s="26">
        <f>IF($R284=0,"",COUNTIFS($R$2:$R$401,"&gt;0",$R$2:$R$401,"&lt;"&amp;$R284)+COUNTIFS($R$2:R284,"="&amp;$R284))</f>
        <v/>
      </c>
      <c r="V284" s="26">
        <f>IFERROR(MATCH(ROW()-ROW($V$12),$T$2:$T$401,0),"")</f>
        <v/>
      </c>
    </row>
    <row r="285" ht="22.5" customHeight="1">
      <c r="A285" s="78">
        <f>IF($V285="","",INDEX($R$2:$R$401,$V285))</f>
        <v/>
      </c>
      <c r="B285" s="2">
        <f>IF($V285="","",INDEX(DIAS_SEMANA,WEEKDAY(INDEX($R$2:$R$401,$V285),2)))</f>
        <v/>
      </c>
      <c r="C285" s="2">
        <f>IF($V285="","","Tema "&amp;INDEX($P$2:$P$401,$V285))</f>
        <v/>
      </c>
      <c r="D285" s="69">
        <f>IF($V285="","",INDEX($Q$2:$Q$401,$V285))</f>
        <v/>
      </c>
      <c r="E285" s="2">
        <f>IF($V285="","",IF(INDEX($S$2:$S$401,$V285)&lt;&gt;"",INDEX($S$2:$S$401,$V285),IF(INDEX($R$2:$R$401,$V285)&lt;$B$2,"Vencida",IF(INDEX($R$2:$R$401,$V285)=$B$2,"Hoy","Programada"))))</f>
        <v/>
      </c>
      <c r="P285" s="26" t="n">
        <v>29</v>
      </c>
      <c r="Q285" s="26" t="n">
        <v>4</v>
      </c>
      <c r="R285" s="26">
        <f>INDEX(Progreso!$AZ$2:$BI$41,$P285,$Q285)</f>
        <v/>
      </c>
      <c r="S285" s="18">
        <f>IF(INDEX(Progreso!$AB$2:$AK$41,$P285,$Q285)=0,"",INDEX(Progreso!$AB$2:$AK$41,$P285,$Q285))</f>
        <v/>
      </c>
      <c r="T285" s="26">
        <f>IF($R285=0,"",COUNTIFS($R$2:$R$401,"&gt;0",$R$2:$R$401,"&lt;"&amp;$R285)+COUNTIFS($R$2:R285,"="&amp;$R285))</f>
        <v/>
      </c>
      <c r="V285" s="26">
        <f>IFERROR(MATCH(ROW()-ROW($V$12),$T$2:$T$401,0),"")</f>
        <v/>
      </c>
    </row>
    <row r="286" ht="22.5" customHeight="1">
      <c r="A286" s="85">
        <f>IF($V286="","",INDEX($R$2:$R$401,$V286))</f>
        <v/>
      </c>
      <c r="B286" s="4">
        <f>IF($V286="","",INDEX(DIAS_SEMANA,WEEKDAY(INDEX($R$2:$R$401,$V286),2)))</f>
        <v/>
      </c>
      <c r="C286" s="4">
        <f>IF($V286="","","Tema "&amp;INDEX($P$2:$P$401,$V286))</f>
        <v/>
      </c>
      <c r="D286" s="70">
        <f>IF($V286="","",INDEX($Q$2:$Q$401,$V286))</f>
        <v/>
      </c>
      <c r="E286" s="4">
        <f>IF($V286="","",IF(INDEX($S$2:$S$401,$V286)&lt;&gt;"",INDEX($S$2:$S$401,$V286),IF(INDEX($R$2:$R$401,$V286)&lt;$B$2,"Vencida",IF(INDEX($R$2:$R$401,$V286)=$B$2,"Hoy","Programada"))))</f>
        <v/>
      </c>
      <c r="P286" s="26" t="n">
        <v>29</v>
      </c>
      <c r="Q286" s="26" t="n">
        <v>5</v>
      </c>
      <c r="R286" s="26">
        <f>INDEX(Progreso!$AZ$2:$BI$41,$P286,$Q286)</f>
        <v/>
      </c>
      <c r="S286" s="18">
        <f>IF(INDEX(Progreso!$AB$2:$AK$41,$P286,$Q286)=0,"",INDEX(Progreso!$AB$2:$AK$41,$P286,$Q286))</f>
        <v/>
      </c>
      <c r="T286" s="26">
        <f>IF($R286=0,"",COUNTIFS($R$2:$R$401,"&gt;0",$R$2:$R$401,"&lt;"&amp;$R286)+COUNTIFS($R$2:R286,"="&amp;$R286))</f>
        <v/>
      </c>
      <c r="V286" s="26">
        <f>IFERROR(MATCH(ROW()-ROW($V$12),$T$2:$T$401,0),"")</f>
        <v/>
      </c>
    </row>
    <row r="287" ht="22.5" customHeight="1">
      <c r="A287" s="78">
        <f>IF($V287="","",INDEX($R$2:$R$401,$V287))</f>
        <v/>
      </c>
      <c r="B287" s="2">
        <f>IF($V287="","",INDEX(DIAS_SEMANA,WEEKDAY(INDEX($R$2:$R$401,$V287),2)))</f>
        <v/>
      </c>
      <c r="C287" s="2">
        <f>IF($V287="","","Tema "&amp;INDEX($P$2:$P$401,$V287))</f>
        <v/>
      </c>
      <c r="D287" s="69">
        <f>IF($V287="","",INDEX($Q$2:$Q$401,$V287))</f>
        <v/>
      </c>
      <c r="E287" s="2">
        <f>IF($V287="","",IF(INDEX($S$2:$S$401,$V287)&lt;&gt;"",INDEX($S$2:$S$401,$V287),IF(INDEX($R$2:$R$401,$V287)&lt;$B$2,"Vencida",IF(INDEX($R$2:$R$401,$V287)=$B$2,"Hoy","Programada"))))</f>
        <v/>
      </c>
      <c r="P287" s="26" t="n">
        <v>29</v>
      </c>
      <c r="Q287" s="26" t="n">
        <v>6</v>
      </c>
      <c r="R287" s="26">
        <f>INDEX(Progreso!$AZ$2:$BI$41,$P287,$Q287)</f>
        <v/>
      </c>
      <c r="S287" s="18">
        <f>IF(INDEX(Progreso!$AB$2:$AK$41,$P287,$Q287)=0,"",INDEX(Progreso!$AB$2:$AK$41,$P287,$Q287))</f>
        <v/>
      </c>
      <c r="T287" s="26">
        <f>IF($R287=0,"",COUNTIFS($R$2:$R$401,"&gt;0",$R$2:$R$401,"&lt;"&amp;$R287)+COUNTIFS($R$2:R287,"="&amp;$R287))</f>
        <v/>
      </c>
      <c r="V287" s="26">
        <f>IFERROR(MATCH(ROW()-ROW($V$12),$T$2:$T$401,0),"")</f>
        <v/>
      </c>
    </row>
    <row r="288" ht="22.5" customHeight="1">
      <c r="A288" s="85">
        <f>IF($V288="","",INDEX($R$2:$R$401,$V288))</f>
        <v/>
      </c>
      <c r="B288" s="4">
        <f>IF($V288="","",INDEX(DIAS_SEMANA,WEEKDAY(INDEX($R$2:$R$401,$V288),2)))</f>
        <v/>
      </c>
      <c r="C288" s="4">
        <f>IF($V288="","","Tema "&amp;INDEX($P$2:$P$401,$V288))</f>
        <v/>
      </c>
      <c r="D288" s="70">
        <f>IF($V288="","",INDEX($Q$2:$Q$401,$V288))</f>
        <v/>
      </c>
      <c r="E288" s="4">
        <f>IF($V288="","",IF(INDEX($S$2:$S$401,$V288)&lt;&gt;"",INDEX($S$2:$S$401,$V288),IF(INDEX($R$2:$R$401,$V288)&lt;$B$2,"Vencida",IF(INDEX($R$2:$R$401,$V288)=$B$2,"Hoy","Programada"))))</f>
        <v/>
      </c>
      <c r="P288" s="26" t="n">
        <v>29</v>
      </c>
      <c r="Q288" s="26" t="n">
        <v>7</v>
      </c>
      <c r="R288" s="26">
        <f>INDEX(Progreso!$AZ$2:$BI$41,$P288,$Q288)</f>
        <v/>
      </c>
      <c r="S288" s="18">
        <f>IF(INDEX(Progreso!$AB$2:$AK$41,$P288,$Q288)=0,"",INDEX(Progreso!$AB$2:$AK$41,$P288,$Q288))</f>
        <v/>
      </c>
      <c r="T288" s="26">
        <f>IF($R288=0,"",COUNTIFS($R$2:$R$401,"&gt;0",$R$2:$R$401,"&lt;"&amp;$R288)+COUNTIFS($R$2:R288,"="&amp;$R288))</f>
        <v/>
      </c>
      <c r="V288" s="26">
        <f>IFERROR(MATCH(ROW()-ROW($V$12),$T$2:$T$401,0),"")</f>
        <v/>
      </c>
    </row>
    <row r="289" ht="22.5" customHeight="1">
      <c r="A289" s="78">
        <f>IF($V289="","",INDEX($R$2:$R$401,$V289))</f>
        <v/>
      </c>
      <c r="B289" s="2">
        <f>IF($V289="","",INDEX(DIAS_SEMANA,WEEKDAY(INDEX($R$2:$R$401,$V289),2)))</f>
        <v/>
      </c>
      <c r="C289" s="2">
        <f>IF($V289="","","Tema "&amp;INDEX($P$2:$P$401,$V289))</f>
        <v/>
      </c>
      <c r="D289" s="69">
        <f>IF($V289="","",INDEX($Q$2:$Q$401,$V289))</f>
        <v/>
      </c>
      <c r="E289" s="2">
        <f>IF($V289="","",IF(INDEX($S$2:$S$401,$V289)&lt;&gt;"",INDEX($S$2:$S$401,$V289),IF(INDEX($R$2:$R$401,$V289)&lt;$B$2,"Vencida",IF(INDEX($R$2:$R$401,$V289)=$B$2,"Hoy","Programada"))))</f>
        <v/>
      </c>
      <c r="P289" s="26" t="n">
        <v>29</v>
      </c>
      <c r="Q289" s="26" t="n">
        <v>8</v>
      </c>
      <c r="R289" s="26">
        <f>INDEX(Progreso!$AZ$2:$BI$41,$P289,$Q289)</f>
        <v/>
      </c>
      <c r="S289" s="18">
        <f>IF(INDEX(Progreso!$AB$2:$AK$41,$P289,$Q289)=0,"",INDEX(Progreso!$AB$2:$AK$41,$P289,$Q289))</f>
        <v/>
      </c>
      <c r="T289" s="26">
        <f>IF($R289=0,"",COUNTIFS($R$2:$R$401,"&gt;0",$R$2:$R$401,"&lt;"&amp;$R289)+COUNTIFS($R$2:R289,"="&amp;$R289))</f>
        <v/>
      </c>
      <c r="V289" s="26">
        <f>IFERROR(MATCH(ROW()-ROW($V$12),$T$2:$T$401,0),"")</f>
        <v/>
      </c>
    </row>
    <row r="290" ht="22.5" customHeight="1">
      <c r="A290" s="85">
        <f>IF($V290="","",INDEX($R$2:$R$401,$V290))</f>
        <v/>
      </c>
      <c r="B290" s="4">
        <f>IF($V290="","",INDEX(DIAS_SEMANA,WEEKDAY(INDEX($R$2:$R$401,$V290),2)))</f>
        <v/>
      </c>
      <c r="C290" s="4">
        <f>IF($V290="","","Tema "&amp;INDEX($P$2:$P$401,$V290))</f>
        <v/>
      </c>
      <c r="D290" s="70">
        <f>IF($V290="","",INDEX($Q$2:$Q$401,$V290))</f>
        <v/>
      </c>
      <c r="E290" s="4">
        <f>IF($V290="","",IF(INDEX($S$2:$S$401,$V290)&lt;&gt;"",INDEX($S$2:$S$401,$V290),IF(INDEX($R$2:$R$401,$V290)&lt;$B$2,"Vencida",IF(INDEX($R$2:$R$401,$V290)=$B$2,"Hoy","Programada"))))</f>
        <v/>
      </c>
      <c r="P290" s="26" t="n">
        <v>29</v>
      </c>
      <c r="Q290" s="26" t="n">
        <v>9</v>
      </c>
      <c r="R290" s="26">
        <f>INDEX(Progreso!$AZ$2:$BI$41,$P290,$Q290)</f>
        <v/>
      </c>
      <c r="S290" s="18">
        <f>IF(INDEX(Progreso!$AB$2:$AK$41,$P290,$Q290)=0,"",INDEX(Progreso!$AB$2:$AK$41,$P290,$Q290))</f>
        <v/>
      </c>
      <c r="T290" s="26">
        <f>IF($R290=0,"",COUNTIFS($R$2:$R$401,"&gt;0",$R$2:$R$401,"&lt;"&amp;$R290)+COUNTIFS($R$2:R290,"="&amp;$R290))</f>
        <v/>
      </c>
      <c r="V290" s="26">
        <f>IFERROR(MATCH(ROW()-ROW($V$12),$T$2:$T$401,0),"")</f>
        <v/>
      </c>
    </row>
    <row r="291" ht="22.5" customHeight="1">
      <c r="A291" s="78">
        <f>IF($V291="","",INDEX($R$2:$R$401,$V291))</f>
        <v/>
      </c>
      <c r="B291" s="2">
        <f>IF($V291="","",INDEX(DIAS_SEMANA,WEEKDAY(INDEX($R$2:$R$401,$V291),2)))</f>
        <v/>
      </c>
      <c r="C291" s="2">
        <f>IF($V291="","","Tema "&amp;INDEX($P$2:$P$401,$V291))</f>
        <v/>
      </c>
      <c r="D291" s="69">
        <f>IF($V291="","",INDEX($Q$2:$Q$401,$V291))</f>
        <v/>
      </c>
      <c r="E291" s="2">
        <f>IF($V291="","",IF(INDEX($S$2:$S$401,$V291)&lt;&gt;"",INDEX($S$2:$S$401,$V291),IF(INDEX($R$2:$R$401,$V291)&lt;$B$2,"Vencida",IF(INDEX($R$2:$R$401,$V291)=$B$2,"Hoy","Programada"))))</f>
        <v/>
      </c>
      <c r="P291" s="26" t="n">
        <v>29</v>
      </c>
      <c r="Q291" s="26" t="n">
        <v>10</v>
      </c>
      <c r="R291" s="26">
        <f>INDEX(Progreso!$AZ$2:$BI$41,$P291,$Q291)</f>
        <v/>
      </c>
      <c r="S291" s="18">
        <f>IF(INDEX(Progreso!$AB$2:$AK$41,$P291,$Q291)=0,"",INDEX(Progreso!$AB$2:$AK$41,$P291,$Q291))</f>
        <v/>
      </c>
      <c r="T291" s="26">
        <f>IF($R291=0,"",COUNTIFS($R$2:$R$401,"&gt;0",$R$2:$R$401,"&lt;"&amp;$R291)+COUNTIFS($R$2:R291,"="&amp;$R291))</f>
        <v/>
      </c>
      <c r="V291" s="26">
        <f>IFERROR(MATCH(ROW()-ROW($V$12),$T$2:$T$401,0),"")</f>
        <v/>
      </c>
    </row>
    <row r="292" ht="22.5" customHeight="1">
      <c r="A292" s="85">
        <f>IF($V292="","",INDEX($R$2:$R$401,$V292))</f>
        <v/>
      </c>
      <c r="B292" s="4">
        <f>IF($V292="","",INDEX(DIAS_SEMANA,WEEKDAY(INDEX($R$2:$R$401,$V292),2)))</f>
        <v/>
      </c>
      <c r="C292" s="4">
        <f>IF($V292="","","Tema "&amp;INDEX($P$2:$P$401,$V292))</f>
        <v/>
      </c>
      <c r="D292" s="70">
        <f>IF($V292="","",INDEX($Q$2:$Q$401,$V292))</f>
        <v/>
      </c>
      <c r="E292" s="4">
        <f>IF($V292="","",IF(INDEX($S$2:$S$401,$V292)&lt;&gt;"",INDEX($S$2:$S$401,$V292),IF(INDEX($R$2:$R$401,$V292)&lt;$B$2,"Vencida",IF(INDEX($R$2:$R$401,$V292)=$B$2,"Hoy","Programada"))))</f>
        <v/>
      </c>
      <c r="P292" s="26" t="n">
        <v>30</v>
      </c>
      <c r="Q292" s="26" t="n">
        <v>1</v>
      </c>
      <c r="R292" s="26">
        <f>INDEX(Progreso!$AZ$2:$BI$41,$P292,$Q292)</f>
        <v/>
      </c>
      <c r="S292" s="18">
        <f>IF(INDEX(Progreso!$AB$2:$AK$41,$P292,$Q292)=0,"",INDEX(Progreso!$AB$2:$AK$41,$P292,$Q292))</f>
        <v/>
      </c>
      <c r="T292" s="26">
        <f>IF($R292=0,"",COUNTIFS($R$2:$R$401,"&gt;0",$R$2:$R$401,"&lt;"&amp;$R292)+COUNTIFS($R$2:R292,"="&amp;$R292))</f>
        <v/>
      </c>
      <c r="V292" s="26">
        <f>IFERROR(MATCH(ROW()-ROW($V$12),$T$2:$T$401,0),"")</f>
        <v/>
      </c>
    </row>
    <row r="293" ht="22.5" customHeight="1">
      <c r="A293" s="78">
        <f>IF($V293="","",INDEX($R$2:$R$401,$V293))</f>
        <v/>
      </c>
      <c r="B293" s="2">
        <f>IF($V293="","",INDEX(DIAS_SEMANA,WEEKDAY(INDEX($R$2:$R$401,$V293),2)))</f>
        <v/>
      </c>
      <c r="C293" s="2">
        <f>IF($V293="","","Tema "&amp;INDEX($P$2:$P$401,$V293))</f>
        <v/>
      </c>
      <c r="D293" s="69">
        <f>IF($V293="","",INDEX($Q$2:$Q$401,$V293))</f>
        <v/>
      </c>
      <c r="E293" s="2">
        <f>IF($V293="","",IF(INDEX($S$2:$S$401,$V293)&lt;&gt;"",INDEX($S$2:$S$401,$V293),IF(INDEX($R$2:$R$401,$V293)&lt;$B$2,"Vencida",IF(INDEX($R$2:$R$401,$V293)=$B$2,"Hoy","Programada"))))</f>
        <v/>
      </c>
      <c r="P293" s="26" t="n">
        <v>30</v>
      </c>
      <c r="Q293" s="26" t="n">
        <v>2</v>
      </c>
      <c r="R293" s="26">
        <f>INDEX(Progreso!$AZ$2:$BI$41,$P293,$Q293)</f>
        <v/>
      </c>
      <c r="S293" s="18">
        <f>IF(INDEX(Progreso!$AB$2:$AK$41,$P293,$Q293)=0,"",INDEX(Progreso!$AB$2:$AK$41,$P293,$Q293))</f>
        <v/>
      </c>
      <c r="T293" s="26">
        <f>IF($R293=0,"",COUNTIFS($R$2:$R$401,"&gt;0",$R$2:$R$401,"&lt;"&amp;$R293)+COUNTIFS($R$2:R293,"="&amp;$R293))</f>
        <v/>
      </c>
      <c r="V293" s="26">
        <f>IFERROR(MATCH(ROW()-ROW($V$12),$T$2:$T$401,0),"")</f>
        <v/>
      </c>
    </row>
    <row r="294" ht="22.5" customHeight="1">
      <c r="A294" s="85">
        <f>IF($V294="","",INDEX($R$2:$R$401,$V294))</f>
        <v/>
      </c>
      <c r="B294" s="4">
        <f>IF($V294="","",INDEX(DIAS_SEMANA,WEEKDAY(INDEX($R$2:$R$401,$V294),2)))</f>
        <v/>
      </c>
      <c r="C294" s="4">
        <f>IF($V294="","","Tema "&amp;INDEX($P$2:$P$401,$V294))</f>
        <v/>
      </c>
      <c r="D294" s="70">
        <f>IF($V294="","",INDEX($Q$2:$Q$401,$V294))</f>
        <v/>
      </c>
      <c r="E294" s="4">
        <f>IF($V294="","",IF(INDEX($S$2:$S$401,$V294)&lt;&gt;"",INDEX($S$2:$S$401,$V294),IF(INDEX($R$2:$R$401,$V294)&lt;$B$2,"Vencida",IF(INDEX($R$2:$R$401,$V294)=$B$2,"Hoy","Programada"))))</f>
        <v/>
      </c>
      <c r="P294" s="26" t="n">
        <v>30</v>
      </c>
      <c r="Q294" s="26" t="n">
        <v>3</v>
      </c>
      <c r="R294" s="26">
        <f>INDEX(Progreso!$AZ$2:$BI$41,$P294,$Q294)</f>
        <v/>
      </c>
      <c r="S294" s="18">
        <f>IF(INDEX(Progreso!$AB$2:$AK$41,$P294,$Q294)=0,"",INDEX(Progreso!$AB$2:$AK$41,$P294,$Q294))</f>
        <v/>
      </c>
      <c r="T294" s="26">
        <f>IF($R294=0,"",COUNTIFS($R$2:$R$401,"&gt;0",$R$2:$R$401,"&lt;"&amp;$R294)+COUNTIFS($R$2:R294,"="&amp;$R294))</f>
        <v/>
      </c>
      <c r="V294" s="26">
        <f>IFERROR(MATCH(ROW()-ROW($V$12),$T$2:$T$401,0),"")</f>
        <v/>
      </c>
    </row>
    <row r="295" ht="22.5" customHeight="1">
      <c r="A295" s="78">
        <f>IF($V295="","",INDEX($R$2:$R$401,$V295))</f>
        <v/>
      </c>
      <c r="B295" s="2">
        <f>IF($V295="","",INDEX(DIAS_SEMANA,WEEKDAY(INDEX($R$2:$R$401,$V295),2)))</f>
        <v/>
      </c>
      <c r="C295" s="2">
        <f>IF($V295="","","Tema "&amp;INDEX($P$2:$P$401,$V295))</f>
        <v/>
      </c>
      <c r="D295" s="69">
        <f>IF($V295="","",INDEX($Q$2:$Q$401,$V295))</f>
        <v/>
      </c>
      <c r="E295" s="2">
        <f>IF($V295="","",IF(INDEX($S$2:$S$401,$V295)&lt;&gt;"",INDEX($S$2:$S$401,$V295),IF(INDEX($R$2:$R$401,$V295)&lt;$B$2,"Vencida",IF(INDEX($R$2:$R$401,$V295)=$B$2,"Hoy","Programada"))))</f>
        <v/>
      </c>
      <c r="P295" s="26" t="n">
        <v>30</v>
      </c>
      <c r="Q295" s="26" t="n">
        <v>4</v>
      </c>
      <c r="R295" s="26">
        <f>INDEX(Progreso!$AZ$2:$BI$41,$P295,$Q295)</f>
        <v/>
      </c>
      <c r="S295" s="18">
        <f>IF(INDEX(Progreso!$AB$2:$AK$41,$P295,$Q295)=0,"",INDEX(Progreso!$AB$2:$AK$41,$P295,$Q295))</f>
        <v/>
      </c>
      <c r="T295" s="26">
        <f>IF($R295=0,"",COUNTIFS($R$2:$R$401,"&gt;0",$R$2:$R$401,"&lt;"&amp;$R295)+COUNTIFS($R$2:R295,"="&amp;$R295))</f>
        <v/>
      </c>
      <c r="V295" s="26">
        <f>IFERROR(MATCH(ROW()-ROW($V$12),$T$2:$T$401,0),"")</f>
        <v/>
      </c>
    </row>
    <row r="296" ht="22.5" customHeight="1">
      <c r="A296" s="85">
        <f>IF($V296="","",INDEX($R$2:$R$401,$V296))</f>
        <v/>
      </c>
      <c r="B296" s="4">
        <f>IF($V296="","",INDEX(DIAS_SEMANA,WEEKDAY(INDEX($R$2:$R$401,$V296),2)))</f>
        <v/>
      </c>
      <c r="C296" s="4">
        <f>IF($V296="","","Tema "&amp;INDEX($P$2:$P$401,$V296))</f>
        <v/>
      </c>
      <c r="D296" s="70">
        <f>IF($V296="","",INDEX($Q$2:$Q$401,$V296))</f>
        <v/>
      </c>
      <c r="E296" s="4">
        <f>IF($V296="","",IF(INDEX($S$2:$S$401,$V296)&lt;&gt;"",INDEX($S$2:$S$401,$V296),IF(INDEX($R$2:$R$401,$V296)&lt;$B$2,"Vencida",IF(INDEX($R$2:$R$401,$V296)=$B$2,"Hoy","Programada"))))</f>
        <v/>
      </c>
      <c r="P296" s="26" t="n">
        <v>30</v>
      </c>
      <c r="Q296" s="26" t="n">
        <v>5</v>
      </c>
      <c r="R296" s="26">
        <f>INDEX(Progreso!$AZ$2:$BI$41,$P296,$Q296)</f>
        <v/>
      </c>
      <c r="S296" s="18">
        <f>IF(INDEX(Progreso!$AB$2:$AK$41,$P296,$Q296)=0,"",INDEX(Progreso!$AB$2:$AK$41,$P296,$Q296))</f>
        <v/>
      </c>
      <c r="T296" s="26">
        <f>IF($R296=0,"",COUNTIFS($R$2:$R$401,"&gt;0",$R$2:$R$401,"&lt;"&amp;$R296)+COUNTIFS($R$2:R296,"="&amp;$R296))</f>
        <v/>
      </c>
      <c r="V296" s="26">
        <f>IFERROR(MATCH(ROW()-ROW($V$12),$T$2:$T$401,0),"")</f>
        <v/>
      </c>
    </row>
    <row r="297" ht="22.5" customHeight="1">
      <c r="A297" s="78">
        <f>IF($V297="","",INDEX($R$2:$R$401,$V297))</f>
        <v/>
      </c>
      <c r="B297" s="2">
        <f>IF($V297="","",INDEX(DIAS_SEMANA,WEEKDAY(INDEX($R$2:$R$401,$V297),2)))</f>
        <v/>
      </c>
      <c r="C297" s="2">
        <f>IF($V297="","","Tema "&amp;INDEX($P$2:$P$401,$V297))</f>
        <v/>
      </c>
      <c r="D297" s="69">
        <f>IF($V297="","",INDEX($Q$2:$Q$401,$V297))</f>
        <v/>
      </c>
      <c r="E297" s="2">
        <f>IF($V297="","",IF(INDEX($S$2:$S$401,$V297)&lt;&gt;"",INDEX($S$2:$S$401,$V297),IF(INDEX($R$2:$R$401,$V297)&lt;$B$2,"Vencida",IF(INDEX($R$2:$R$401,$V297)=$B$2,"Hoy","Programada"))))</f>
        <v/>
      </c>
      <c r="P297" s="26" t="n">
        <v>30</v>
      </c>
      <c r="Q297" s="26" t="n">
        <v>6</v>
      </c>
      <c r="R297" s="26">
        <f>INDEX(Progreso!$AZ$2:$BI$41,$P297,$Q297)</f>
        <v/>
      </c>
      <c r="S297" s="18">
        <f>IF(INDEX(Progreso!$AB$2:$AK$41,$P297,$Q297)=0,"",INDEX(Progreso!$AB$2:$AK$41,$P297,$Q297))</f>
        <v/>
      </c>
      <c r="T297" s="26">
        <f>IF($R297=0,"",COUNTIFS($R$2:$R$401,"&gt;0",$R$2:$R$401,"&lt;"&amp;$R297)+COUNTIFS($R$2:R297,"="&amp;$R297))</f>
        <v/>
      </c>
      <c r="V297" s="26">
        <f>IFERROR(MATCH(ROW()-ROW($V$12),$T$2:$T$401,0),"")</f>
        <v/>
      </c>
    </row>
    <row r="298" ht="22.5" customHeight="1">
      <c r="A298" s="85">
        <f>IF($V298="","",INDEX($R$2:$R$401,$V298))</f>
        <v/>
      </c>
      <c r="B298" s="4">
        <f>IF($V298="","",INDEX(DIAS_SEMANA,WEEKDAY(INDEX($R$2:$R$401,$V298),2)))</f>
        <v/>
      </c>
      <c r="C298" s="4">
        <f>IF($V298="","","Tema "&amp;INDEX($P$2:$P$401,$V298))</f>
        <v/>
      </c>
      <c r="D298" s="70">
        <f>IF($V298="","",INDEX($Q$2:$Q$401,$V298))</f>
        <v/>
      </c>
      <c r="E298" s="4">
        <f>IF($V298="","",IF(INDEX($S$2:$S$401,$V298)&lt;&gt;"",INDEX($S$2:$S$401,$V298),IF(INDEX($R$2:$R$401,$V298)&lt;$B$2,"Vencida",IF(INDEX($R$2:$R$401,$V298)=$B$2,"Hoy","Programada"))))</f>
        <v/>
      </c>
      <c r="P298" s="26" t="n">
        <v>30</v>
      </c>
      <c r="Q298" s="26" t="n">
        <v>7</v>
      </c>
      <c r="R298" s="26">
        <f>INDEX(Progreso!$AZ$2:$BI$41,$P298,$Q298)</f>
        <v/>
      </c>
      <c r="S298" s="18">
        <f>IF(INDEX(Progreso!$AB$2:$AK$41,$P298,$Q298)=0,"",INDEX(Progreso!$AB$2:$AK$41,$P298,$Q298))</f>
        <v/>
      </c>
      <c r="T298" s="26">
        <f>IF($R298=0,"",COUNTIFS($R$2:$R$401,"&gt;0",$R$2:$R$401,"&lt;"&amp;$R298)+COUNTIFS($R$2:R298,"="&amp;$R298))</f>
        <v/>
      </c>
      <c r="V298" s="26">
        <f>IFERROR(MATCH(ROW()-ROW($V$12),$T$2:$T$401,0),"")</f>
        <v/>
      </c>
    </row>
    <row r="299" ht="22.5" customHeight="1">
      <c r="A299" s="78">
        <f>IF($V299="","",INDEX($R$2:$R$401,$V299))</f>
        <v/>
      </c>
      <c r="B299" s="2">
        <f>IF($V299="","",INDEX(DIAS_SEMANA,WEEKDAY(INDEX($R$2:$R$401,$V299),2)))</f>
        <v/>
      </c>
      <c r="C299" s="2">
        <f>IF($V299="","","Tema "&amp;INDEX($P$2:$P$401,$V299))</f>
        <v/>
      </c>
      <c r="D299" s="69">
        <f>IF($V299="","",INDEX($Q$2:$Q$401,$V299))</f>
        <v/>
      </c>
      <c r="E299" s="2">
        <f>IF($V299="","",IF(INDEX($S$2:$S$401,$V299)&lt;&gt;"",INDEX($S$2:$S$401,$V299),IF(INDEX($R$2:$R$401,$V299)&lt;$B$2,"Vencida",IF(INDEX($R$2:$R$401,$V299)=$B$2,"Hoy","Programada"))))</f>
        <v/>
      </c>
      <c r="P299" s="26" t="n">
        <v>30</v>
      </c>
      <c r="Q299" s="26" t="n">
        <v>8</v>
      </c>
      <c r="R299" s="26">
        <f>INDEX(Progreso!$AZ$2:$BI$41,$P299,$Q299)</f>
        <v/>
      </c>
      <c r="S299" s="18">
        <f>IF(INDEX(Progreso!$AB$2:$AK$41,$P299,$Q299)=0,"",INDEX(Progreso!$AB$2:$AK$41,$P299,$Q299))</f>
        <v/>
      </c>
      <c r="T299" s="26">
        <f>IF($R299=0,"",COUNTIFS($R$2:$R$401,"&gt;0",$R$2:$R$401,"&lt;"&amp;$R299)+COUNTIFS($R$2:R299,"="&amp;$R299))</f>
        <v/>
      </c>
      <c r="V299" s="26">
        <f>IFERROR(MATCH(ROW()-ROW($V$12),$T$2:$T$401,0),"")</f>
        <v/>
      </c>
    </row>
    <row r="300" ht="22.5" customHeight="1">
      <c r="A300" s="85">
        <f>IF($V300="","",INDEX($R$2:$R$401,$V300))</f>
        <v/>
      </c>
      <c r="B300" s="4">
        <f>IF($V300="","",INDEX(DIAS_SEMANA,WEEKDAY(INDEX($R$2:$R$401,$V300),2)))</f>
        <v/>
      </c>
      <c r="C300" s="4">
        <f>IF($V300="","","Tema "&amp;INDEX($P$2:$P$401,$V300))</f>
        <v/>
      </c>
      <c r="D300" s="70">
        <f>IF($V300="","",INDEX($Q$2:$Q$401,$V300))</f>
        <v/>
      </c>
      <c r="E300" s="4">
        <f>IF($V300="","",IF(INDEX($S$2:$S$401,$V300)&lt;&gt;"",INDEX($S$2:$S$401,$V300),IF(INDEX($R$2:$R$401,$V300)&lt;$B$2,"Vencida",IF(INDEX($R$2:$R$401,$V300)=$B$2,"Hoy","Programada"))))</f>
        <v/>
      </c>
      <c r="P300" s="26" t="n">
        <v>30</v>
      </c>
      <c r="Q300" s="26" t="n">
        <v>9</v>
      </c>
      <c r="R300" s="26">
        <f>INDEX(Progreso!$AZ$2:$BI$41,$P300,$Q300)</f>
        <v/>
      </c>
      <c r="S300" s="18">
        <f>IF(INDEX(Progreso!$AB$2:$AK$41,$P300,$Q300)=0,"",INDEX(Progreso!$AB$2:$AK$41,$P300,$Q300))</f>
        <v/>
      </c>
      <c r="T300" s="26">
        <f>IF($R300=0,"",COUNTIFS($R$2:$R$401,"&gt;0",$R$2:$R$401,"&lt;"&amp;$R300)+COUNTIFS($R$2:R300,"="&amp;$R300))</f>
        <v/>
      </c>
      <c r="V300" s="26">
        <f>IFERROR(MATCH(ROW()-ROW($V$12),$T$2:$T$401,0),"")</f>
        <v/>
      </c>
    </row>
    <row r="301" ht="22.5" customHeight="1">
      <c r="A301" s="78">
        <f>IF($V301="","",INDEX($R$2:$R$401,$V301))</f>
        <v/>
      </c>
      <c r="B301" s="2">
        <f>IF($V301="","",INDEX(DIAS_SEMANA,WEEKDAY(INDEX($R$2:$R$401,$V301),2)))</f>
        <v/>
      </c>
      <c r="C301" s="2">
        <f>IF($V301="","","Tema "&amp;INDEX($P$2:$P$401,$V301))</f>
        <v/>
      </c>
      <c r="D301" s="69">
        <f>IF($V301="","",INDEX($Q$2:$Q$401,$V301))</f>
        <v/>
      </c>
      <c r="E301" s="2">
        <f>IF($V301="","",IF(INDEX($S$2:$S$401,$V301)&lt;&gt;"",INDEX($S$2:$S$401,$V301),IF(INDEX($R$2:$R$401,$V301)&lt;$B$2,"Vencida",IF(INDEX($R$2:$R$401,$V301)=$B$2,"Hoy","Programada"))))</f>
        <v/>
      </c>
      <c r="P301" s="26" t="n">
        <v>30</v>
      </c>
      <c r="Q301" s="26" t="n">
        <v>10</v>
      </c>
      <c r="R301" s="26">
        <f>INDEX(Progreso!$AZ$2:$BI$41,$P301,$Q301)</f>
        <v/>
      </c>
      <c r="S301" s="18">
        <f>IF(INDEX(Progreso!$AB$2:$AK$41,$P301,$Q301)=0,"",INDEX(Progreso!$AB$2:$AK$41,$P301,$Q301))</f>
        <v/>
      </c>
      <c r="T301" s="26">
        <f>IF($R301=0,"",COUNTIFS($R$2:$R$401,"&gt;0",$R$2:$R$401,"&lt;"&amp;$R301)+COUNTIFS($R$2:R301,"="&amp;$R301))</f>
        <v/>
      </c>
      <c r="V301" s="26">
        <f>IFERROR(MATCH(ROW()-ROW($V$12),$T$2:$T$401,0),"")</f>
        <v/>
      </c>
    </row>
    <row r="302" ht="22.5" customHeight="1">
      <c r="A302" s="85">
        <f>IF($V302="","",INDEX($R$2:$R$401,$V302))</f>
        <v/>
      </c>
      <c r="B302" s="4">
        <f>IF($V302="","",INDEX(DIAS_SEMANA,WEEKDAY(INDEX($R$2:$R$401,$V302),2)))</f>
        <v/>
      </c>
      <c r="C302" s="4">
        <f>IF($V302="","","Tema "&amp;INDEX($P$2:$P$401,$V302))</f>
        <v/>
      </c>
      <c r="D302" s="70">
        <f>IF($V302="","",INDEX($Q$2:$Q$401,$V302))</f>
        <v/>
      </c>
      <c r="E302" s="4">
        <f>IF($V302="","",IF(INDEX($S$2:$S$401,$V302)&lt;&gt;"",INDEX($S$2:$S$401,$V302),IF(INDEX($R$2:$R$401,$V302)&lt;$B$2,"Vencida",IF(INDEX($R$2:$R$401,$V302)=$B$2,"Hoy","Programada"))))</f>
        <v/>
      </c>
      <c r="P302" s="26" t="n">
        <v>31</v>
      </c>
      <c r="Q302" s="26" t="n">
        <v>1</v>
      </c>
      <c r="R302" s="26">
        <f>INDEX(Progreso!$AZ$2:$BI$41,$P302,$Q302)</f>
        <v/>
      </c>
      <c r="S302" s="18">
        <f>IF(INDEX(Progreso!$AB$2:$AK$41,$P302,$Q302)=0,"",INDEX(Progreso!$AB$2:$AK$41,$P302,$Q302))</f>
        <v/>
      </c>
      <c r="T302" s="26">
        <f>IF($R302=0,"",COUNTIFS($R$2:$R$401,"&gt;0",$R$2:$R$401,"&lt;"&amp;$R302)+COUNTIFS($R$2:R302,"="&amp;$R302))</f>
        <v/>
      </c>
      <c r="V302" s="26">
        <f>IFERROR(MATCH(ROW()-ROW($V$12),$T$2:$T$401,0),"")</f>
        <v/>
      </c>
    </row>
    <row r="303" ht="22.5" customHeight="1">
      <c r="A303" s="78">
        <f>IF($V303="","",INDEX($R$2:$R$401,$V303))</f>
        <v/>
      </c>
      <c r="B303" s="2">
        <f>IF($V303="","",INDEX(DIAS_SEMANA,WEEKDAY(INDEX($R$2:$R$401,$V303),2)))</f>
        <v/>
      </c>
      <c r="C303" s="2">
        <f>IF($V303="","","Tema "&amp;INDEX($P$2:$P$401,$V303))</f>
        <v/>
      </c>
      <c r="D303" s="69">
        <f>IF($V303="","",INDEX($Q$2:$Q$401,$V303))</f>
        <v/>
      </c>
      <c r="E303" s="2">
        <f>IF($V303="","",IF(INDEX($S$2:$S$401,$V303)&lt;&gt;"",INDEX($S$2:$S$401,$V303),IF(INDEX($R$2:$R$401,$V303)&lt;$B$2,"Vencida",IF(INDEX($R$2:$R$401,$V303)=$B$2,"Hoy","Programada"))))</f>
        <v/>
      </c>
      <c r="P303" s="26" t="n">
        <v>31</v>
      </c>
      <c r="Q303" s="26" t="n">
        <v>2</v>
      </c>
      <c r="R303" s="26">
        <f>INDEX(Progreso!$AZ$2:$BI$41,$P303,$Q303)</f>
        <v/>
      </c>
      <c r="S303" s="18">
        <f>IF(INDEX(Progreso!$AB$2:$AK$41,$P303,$Q303)=0,"",INDEX(Progreso!$AB$2:$AK$41,$P303,$Q303))</f>
        <v/>
      </c>
      <c r="T303" s="26">
        <f>IF($R303=0,"",COUNTIFS($R$2:$R$401,"&gt;0",$R$2:$R$401,"&lt;"&amp;$R303)+COUNTIFS($R$2:R303,"="&amp;$R303))</f>
        <v/>
      </c>
      <c r="V303" s="26">
        <f>IFERROR(MATCH(ROW()-ROW($V$12),$T$2:$T$401,0),"")</f>
        <v/>
      </c>
    </row>
    <row r="304" ht="22.5" customHeight="1">
      <c r="A304" s="85">
        <f>IF($V304="","",INDEX($R$2:$R$401,$V304))</f>
        <v/>
      </c>
      <c r="B304" s="4">
        <f>IF($V304="","",INDEX(DIAS_SEMANA,WEEKDAY(INDEX($R$2:$R$401,$V304),2)))</f>
        <v/>
      </c>
      <c r="C304" s="4">
        <f>IF($V304="","","Tema "&amp;INDEX($P$2:$P$401,$V304))</f>
        <v/>
      </c>
      <c r="D304" s="70">
        <f>IF($V304="","",INDEX($Q$2:$Q$401,$V304))</f>
        <v/>
      </c>
      <c r="E304" s="4">
        <f>IF($V304="","",IF(INDEX($S$2:$S$401,$V304)&lt;&gt;"",INDEX($S$2:$S$401,$V304),IF(INDEX($R$2:$R$401,$V304)&lt;$B$2,"Vencida",IF(INDEX($R$2:$R$401,$V304)=$B$2,"Hoy","Programada"))))</f>
        <v/>
      </c>
      <c r="P304" s="26" t="n">
        <v>31</v>
      </c>
      <c r="Q304" s="26" t="n">
        <v>3</v>
      </c>
      <c r="R304" s="26">
        <f>INDEX(Progreso!$AZ$2:$BI$41,$P304,$Q304)</f>
        <v/>
      </c>
      <c r="S304" s="18">
        <f>IF(INDEX(Progreso!$AB$2:$AK$41,$P304,$Q304)=0,"",INDEX(Progreso!$AB$2:$AK$41,$P304,$Q304))</f>
        <v/>
      </c>
      <c r="T304" s="26">
        <f>IF($R304=0,"",COUNTIFS($R$2:$R$401,"&gt;0",$R$2:$R$401,"&lt;"&amp;$R304)+COUNTIFS($R$2:R304,"="&amp;$R304))</f>
        <v/>
      </c>
      <c r="V304" s="26">
        <f>IFERROR(MATCH(ROW()-ROW($V$12),$T$2:$T$401,0),"")</f>
        <v/>
      </c>
    </row>
    <row r="305" ht="22.5" customHeight="1">
      <c r="A305" s="78">
        <f>IF($V305="","",INDEX($R$2:$R$401,$V305))</f>
        <v/>
      </c>
      <c r="B305" s="2">
        <f>IF($V305="","",INDEX(DIAS_SEMANA,WEEKDAY(INDEX($R$2:$R$401,$V305),2)))</f>
        <v/>
      </c>
      <c r="C305" s="2">
        <f>IF($V305="","","Tema "&amp;INDEX($P$2:$P$401,$V305))</f>
        <v/>
      </c>
      <c r="D305" s="69">
        <f>IF($V305="","",INDEX($Q$2:$Q$401,$V305))</f>
        <v/>
      </c>
      <c r="E305" s="2">
        <f>IF($V305="","",IF(INDEX($S$2:$S$401,$V305)&lt;&gt;"",INDEX($S$2:$S$401,$V305),IF(INDEX($R$2:$R$401,$V305)&lt;$B$2,"Vencida",IF(INDEX($R$2:$R$401,$V305)=$B$2,"Hoy","Programada"))))</f>
        <v/>
      </c>
      <c r="P305" s="26" t="n">
        <v>31</v>
      </c>
      <c r="Q305" s="26" t="n">
        <v>4</v>
      </c>
      <c r="R305" s="26">
        <f>INDEX(Progreso!$AZ$2:$BI$41,$P305,$Q305)</f>
        <v/>
      </c>
      <c r="S305" s="18">
        <f>IF(INDEX(Progreso!$AB$2:$AK$41,$P305,$Q305)=0,"",INDEX(Progreso!$AB$2:$AK$41,$P305,$Q305))</f>
        <v/>
      </c>
      <c r="T305" s="26">
        <f>IF($R305=0,"",COUNTIFS($R$2:$R$401,"&gt;0",$R$2:$R$401,"&lt;"&amp;$R305)+COUNTIFS($R$2:R305,"="&amp;$R305))</f>
        <v/>
      </c>
      <c r="V305" s="26">
        <f>IFERROR(MATCH(ROW()-ROW($V$12),$T$2:$T$401,0),"")</f>
        <v/>
      </c>
    </row>
    <row r="306" ht="22.5" customHeight="1">
      <c r="A306" s="85">
        <f>IF($V306="","",INDEX($R$2:$R$401,$V306))</f>
        <v/>
      </c>
      <c r="B306" s="4">
        <f>IF($V306="","",INDEX(DIAS_SEMANA,WEEKDAY(INDEX($R$2:$R$401,$V306),2)))</f>
        <v/>
      </c>
      <c r="C306" s="4">
        <f>IF($V306="","","Tema "&amp;INDEX($P$2:$P$401,$V306))</f>
        <v/>
      </c>
      <c r="D306" s="70">
        <f>IF($V306="","",INDEX($Q$2:$Q$401,$V306))</f>
        <v/>
      </c>
      <c r="E306" s="4">
        <f>IF($V306="","",IF(INDEX($S$2:$S$401,$V306)&lt;&gt;"",INDEX($S$2:$S$401,$V306),IF(INDEX($R$2:$R$401,$V306)&lt;$B$2,"Vencida",IF(INDEX($R$2:$R$401,$V306)=$B$2,"Hoy","Programada"))))</f>
        <v/>
      </c>
      <c r="P306" s="26" t="n">
        <v>31</v>
      </c>
      <c r="Q306" s="26" t="n">
        <v>5</v>
      </c>
      <c r="R306" s="26">
        <f>INDEX(Progreso!$AZ$2:$BI$41,$P306,$Q306)</f>
        <v/>
      </c>
      <c r="S306" s="18">
        <f>IF(INDEX(Progreso!$AB$2:$AK$41,$P306,$Q306)=0,"",INDEX(Progreso!$AB$2:$AK$41,$P306,$Q306))</f>
        <v/>
      </c>
      <c r="T306" s="26">
        <f>IF($R306=0,"",COUNTIFS($R$2:$R$401,"&gt;0",$R$2:$R$401,"&lt;"&amp;$R306)+COUNTIFS($R$2:R306,"="&amp;$R306))</f>
        <v/>
      </c>
      <c r="V306" s="26">
        <f>IFERROR(MATCH(ROW()-ROW($V$12),$T$2:$T$401,0),"")</f>
        <v/>
      </c>
    </row>
    <row r="307" ht="22.5" customHeight="1">
      <c r="A307" s="78">
        <f>IF($V307="","",INDEX($R$2:$R$401,$V307))</f>
        <v/>
      </c>
      <c r="B307" s="2">
        <f>IF($V307="","",INDEX(DIAS_SEMANA,WEEKDAY(INDEX($R$2:$R$401,$V307),2)))</f>
        <v/>
      </c>
      <c r="C307" s="2">
        <f>IF($V307="","","Tema "&amp;INDEX($P$2:$P$401,$V307))</f>
        <v/>
      </c>
      <c r="D307" s="69">
        <f>IF($V307="","",INDEX($Q$2:$Q$401,$V307))</f>
        <v/>
      </c>
      <c r="E307" s="2">
        <f>IF($V307="","",IF(INDEX($S$2:$S$401,$V307)&lt;&gt;"",INDEX($S$2:$S$401,$V307),IF(INDEX($R$2:$R$401,$V307)&lt;$B$2,"Vencida",IF(INDEX($R$2:$R$401,$V307)=$B$2,"Hoy","Programada"))))</f>
        <v/>
      </c>
      <c r="P307" s="26" t="n">
        <v>31</v>
      </c>
      <c r="Q307" s="26" t="n">
        <v>6</v>
      </c>
      <c r="R307" s="26">
        <f>INDEX(Progreso!$AZ$2:$BI$41,$P307,$Q307)</f>
        <v/>
      </c>
      <c r="S307" s="18">
        <f>IF(INDEX(Progreso!$AB$2:$AK$41,$P307,$Q307)=0,"",INDEX(Progreso!$AB$2:$AK$41,$P307,$Q307))</f>
        <v/>
      </c>
      <c r="T307" s="26">
        <f>IF($R307=0,"",COUNTIFS($R$2:$R$401,"&gt;0",$R$2:$R$401,"&lt;"&amp;$R307)+COUNTIFS($R$2:R307,"="&amp;$R307))</f>
        <v/>
      </c>
      <c r="V307" s="26">
        <f>IFERROR(MATCH(ROW()-ROW($V$12),$T$2:$T$401,0),"")</f>
        <v/>
      </c>
    </row>
    <row r="308" ht="22.5" customHeight="1">
      <c r="A308" s="85">
        <f>IF($V308="","",INDEX($R$2:$R$401,$V308))</f>
        <v/>
      </c>
      <c r="B308" s="4">
        <f>IF($V308="","",INDEX(DIAS_SEMANA,WEEKDAY(INDEX($R$2:$R$401,$V308),2)))</f>
        <v/>
      </c>
      <c r="C308" s="4">
        <f>IF($V308="","","Tema "&amp;INDEX($P$2:$P$401,$V308))</f>
        <v/>
      </c>
      <c r="D308" s="70">
        <f>IF($V308="","",INDEX($Q$2:$Q$401,$V308))</f>
        <v/>
      </c>
      <c r="E308" s="4">
        <f>IF($V308="","",IF(INDEX($S$2:$S$401,$V308)&lt;&gt;"",INDEX($S$2:$S$401,$V308),IF(INDEX($R$2:$R$401,$V308)&lt;$B$2,"Vencida",IF(INDEX($R$2:$R$401,$V308)=$B$2,"Hoy","Programada"))))</f>
        <v/>
      </c>
      <c r="P308" s="26" t="n">
        <v>31</v>
      </c>
      <c r="Q308" s="26" t="n">
        <v>7</v>
      </c>
      <c r="R308" s="26">
        <f>INDEX(Progreso!$AZ$2:$BI$41,$P308,$Q308)</f>
        <v/>
      </c>
      <c r="S308" s="18">
        <f>IF(INDEX(Progreso!$AB$2:$AK$41,$P308,$Q308)=0,"",INDEX(Progreso!$AB$2:$AK$41,$P308,$Q308))</f>
        <v/>
      </c>
      <c r="T308" s="26">
        <f>IF($R308=0,"",COUNTIFS($R$2:$R$401,"&gt;0",$R$2:$R$401,"&lt;"&amp;$R308)+COUNTIFS($R$2:R308,"="&amp;$R308))</f>
        <v/>
      </c>
      <c r="V308" s="26">
        <f>IFERROR(MATCH(ROW()-ROW($V$12),$T$2:$T$401,0),"")</f>
        <v/>
      </c>
    </row>
    <row r="309" ht="22.5" customHeight="1">
      <c r="A309" s="78">
        <f>IF($V309="","",INDEX($R$2:$R$401,$V309))</f>
        <v/>
      </c>
      <c r="B309" s="2">
        <f>IF($V309="","",INDEX(DIAS_SEMANA,WEEKDAY(INDEX($R$2:$R$401,$V309),2)))</f>
        <v/>
      </c>
      <c r="C309" s="2">
        <f>IF($V309="","","Tema "&amp;INDEX($P$2:$P$401,$V309))</f>
        <v/>
      </c>
      <c r="D309" s="69">
        <f>IF($V309="","",INDEX($Q$2:$Q$401,$V309))</f>
        <v/>
      </c>
      <c r="E309" s="2">
        <f>IF($V309="","",IF(INDEX($S$2:$S$401,$V309)&lt;&gt;"",INDEX($S$2:$S$401,$V309),IF(INDEX($R$2:$R$401,$V309)&lt;$B$2,"Vencida",IF(INDEX($R$2:$R$401,$V309)=$B$2,"Hoy","Programada"))))</f>
        <v/>
      </c>
      <c r="P309" s="26" t="n">
        <v>31</v>
      </c>
      <c r="Q309" s="26" t="n">
        <v>8</v>
      </c>
      <c r="R309" s="26">
        <f>INDEX(Progreso!$AZ$2:$BI$41,$P309,$Q309)</f>
        <v/>
      </c>
      <c r="S309" s="18">
        <f>IF(INDEX(Progreso!$AB$2:$AK$41,$P309,$Q309)=0,"",INDEX(Progreso!$AB$2:$AK$41,$P309,$Q309))</f>
        <v/>
      </c>
      <c r="T309" s="26">
        <f>IF($R309=0,"",COUNTIFS($R$2:$R$401,"&gt;0",$R$2:$R$401,"&lt;"&amp;$R309)+COUNTIFS($R$2:R309,"="&amp;$R309))</f>
        <v/>
      </c>
      <c r="V309" s="26">
        <f>IFERROR(MATCH(ROW()-ROW($V$12),$T$2:$T$401,0),"")</f>
        <v/>
      </c>
    </row>
    <row r="310" ht="22.5" customHeight="1">
      <c r="A310" s="85">
        <f>IF($V310="","",INDEX($R$2:$R$401,$V310))</f>
        <v/>
      </c>
      <c r="B310" s="4">
        <f>IF($V310="","",INDEX(DIAS_SEMANA,WEEKDAY(INDEX($R$2:$R$401,$V310),2)))</f>
        <v/>
      </c>
      <c r="C310" s="4">
        <f>IF($V310="","","Tema "&amp;INDEX($P$2:$P$401,$V310))</f>
        <v/>
      </c>
      <c r="D310" s="70">
        <f>IF($V310="","",INDEX($Q$2:$Q$401,$V310))</f>
        <v/>
      </c>
      <c r="E310" s="4">
        <f>IF($V310="","",IF(INDEX($S$2:$S$401,$V310)&lt;&gt;"",INDEX($S$2:$S$401,$V310),IF(INDEX($R$2:$R$401,$V310)&lt;$B$2,"Vencida",IF(INDEX($R$2:$R$401,$V310)=$B$2,"Hoy","Programada"))))</f>
        <v/>
      </c>
      <c r="P310" s="26" t="n">
        <v>31</v>
      </c>
      <c r="Q310" s="26" t="n">
        <v>9</v>
      </c>
      <c r="R310" s="26">
        <f>INDEX(Progreso!$AZ$2:$BI$41,$P310,$Q310)</f>
        <v/>
      </c>
      <c r="S310" s="18">
        <f>IF(INDEX(Progreso!$AB$2:$AK$41,$P310,$Q310)=0,"",INDEX(Progreso!$AB$2:$AK$41,$P310,$Q310))</f>
        <v/>
      </c>
      <c r="T310" s="26">
        <f>IF($R310=0,"",COUNTIFS($R$2:$R$401,"&gt;0",$R$2:$R$401,"&lt;"&amp;$R310)+COUNTIFS($R$2:R310,"="&amp;$R310))</f>
        <v/>
      </c>
      <c r="V310" s="26">
        <f>IFERROR(MATCH(ROW()-ROW($V$12),$T$2:$T$401,0),"")</f>
        <v/>
      </c>
    </row>
    <row r="311" ht="22.5" customHeight="1">
      <c r="A311" s="78">
        <f>IF($V311="","",INDEX($R$2:$R$401,$V311))</f>
        <v/>
      </c>
      <c r="B311" s="2">
        <f>IF($V311="","",INDEX(DIAS_SEMANA,WEEKDAY(INDEX($R$2:$R$401,$V311),2)))</f>
        <v/>
      </c>
      <c r="C311" s="2">
        <f>IF($V311="","","Tema "&amp;INDEX($P$2:$P$401,$V311))</f>
        <v/>
      </c>
      <c r="D311" s="69">
        <f>IF($V311="","",INDEX($Q$2:$Q$401,$V311))</f>
        <v/>
      </c>
      <c r="E311" s="2">
        <f>IF($V311="","",IF(INDEX($S$2:$S$401,$V311)&lt;&gt;"",INDEX($S$2:$S$401,$V311),IF(INDEX($R$2:$R$401,$V311)&lt;$B$2,"Vencida",IF(INDEX($R$2:$R$401,$V311)=$B$2,"Hoy","Programada"))))</f>
        <v/>
      </c>
      <c r="P311" s="26" t="n">
        <v>31</v>
      </c>
      <c r="Q311" s="26" t="n">
        <v>10</v>
      </c>
      <c r="R311" s="26">
        <f>INDEX(Progreso!$AZ$2:$BI$41,$P311,$Q311)</f>
        <v/>
      </c>
      <c r="S311" s="18">
        <f>IF(INDEX(Progreso!$AB$2:$AK$41,$P311,$Q311)=0,"",INDEX(Progreso!$AB$2:$AK$41,$P311,$Q311))</f>
        <v/>
      </c>
      <c r="T311" s="26">
        <f>IF($R311=0,"",COUNTIFS($R$2:$R$401,"&gt;0",$R$2:$R$401,"&lt;"&amp;$R311)+COUNTIFS($R$2:R311,"="&amp;$R311))</f>
        <v/>
      </c>
      <c r="V311" s="26">
        <f>IFERROR(MATCH(ROW()-ROW($V$12),$T$2:$T$401,0),"")</f>
        <v/>
      </c>
    </row>
    <row r="312" ht="22.5" customHeight="1">
      <c r="A312" s="85">
        <f>IF($V312="","",INDEX($R$2:$R$401,$V312))</f>
        <v/>
      </c>
      <c r="B312" s="4">
        <f>IF($V312="","",INDEX(DIAS_SEMANA,WEEKDAY(INDEX($R$2:$R$401,$V312),2)))</f>
        <v/>
      </c>
      <c r="C312" s="4">
        <f>IF($V312="","","Tema "&amp;INDEX($P$2:$P$401,$V312))</f>
        <v/>
      </c>
      <c r="D312" s="70">
        <f>IF($V312="","",INDEX($Q$2:$Q$401,$V312))</f>
        <v/>
      </c>
      <c r="E312" s="4">
        <f>IF($V312="","",IF(INDEX($S$2:$S$401,$V312)&lt;&gt;"",INDEX($S$2:$S$401,$V312),IF(INDEX($R$2:$R$401,$V312)&lt;$B$2,"Vencida",IF(INDEX($R$2:$R$401,$V312)=$B$2,"Hoy","Programada"))))</f>
        <v/>
      </c>
      <c r="P312" s="26" t="n">
        <v>32</v>
      </c>
      <c r="Q312" s="26" t="n">
        <v>1</v>
      </c>
      <c r="R312" s="26">
        <f>INDEX(Progreso!$AZ$2:$BI$41,$P312,$Q312)</f>
        <v/>
      </c>
      <c r="S312" s="18">
        <f>IF(INDEX(Progreso!$AB$2:$AK$41,$P312,$Q312)=0,"",INDEX(Progreso!$AB$2:$AK$41,$P312,$Q312))</f>
        <v/>
      </c>
      <c r="T312" s="26">
        <f>IF($R312=0,"",COUNTIFS($R$2:$R$401,"&gt;0",$R$2:$R$401,"&lt;"&amp;$R312)+COUNTIFS($R$2:R312,"="&amp;$R312))</f>
        <v/>
      </c>
      <c r="V312" s="26">
        <f>IFERROR(MATCH(ROW()-ROW($V$12),$T$2:$T$401,0),"")</f>
        <v/>
      </c>
    </row>
    <row r="313" ht="22.5" customHeight="1">
      <c r="A313" s="78">
        <f>IF($V313="","",INDEX($R$2:$R$401,$V313))</f>
        <v/>
      </c>
      <c r="B313" s="2">
        <f>IF($V313="","",INDEX(DIAS_SEMANA,WEEKDAY(INDEX($R$2:$R$401,$V313),2)))</f>
        <v/>
      </c>
      <c r="C313" s="2">
        <f>IF($V313="","","Tema "&amp;INDEX($P$2:$P$401,$V313))</f>
        <v/>
      </c>
      <c r="D313" s="69">
        <f>IF($V313="","",INDEX($Q$2:$Q$401,$V313))</f>
        <v/>
      </c>
      <c r="E313" s="2">
        <f>IF($V313="","",IF(INDEX($S$2:$S$401,$V313)&lt;&gt;"",INDEX($S$2:$S$401,$V313),IF(INDEX($R$2:$R$401,$V313)&lt;$B$2,"Vencida",IF(INDEX($R$2:$R$401,$V313)=$B$2,"Hoy","Programada"))))</f>
        <v/>
      </c>
      <c r="P313" s="26" t="n">
        <v>32</v>
      </c>
      <c r="Q313" s="26" t="n">
        <v>2</v>
      </c>
      <c r="R313" s="26">
        <f>INDEX(Progreso!$AZ$2:$BI$41,$P313,$Q313)</f>
        <v/>
      </c>
      <c r="S313" s="18">
        <f>IF(INDEX(Progreso!$AB$2:$AK$41,$P313,$Q313)=0,"",INDEX(Progreso!$AB$2:$AK$41,$P313,$Q313))</f>
        <v/>
      </c>
      <c r="T313" s="26">
        <f>IF($R313=0,"",COUNTIFS($R$2:$R$401,"&gt;0",$R$2:$R$401,"&lt;"&amp;$R313)+COUNTIFS($R$2:R313,"="&amp;$R313))</f>
        <v/>
      </c>
      <c r="V313" s="26">
        <f>IFERROR(MATCH(ROW()-ROW($V$12),$T$2:$T$401,0),"")</f>
        <v/>
      </c>
    </row>
    <row r="314" ht="22.5" customHeight="1">
      <c r="A314" s="85">
        <f>IF($V314="","",INDEX($R$2:$R$401,$V314))</f>
        <v/>
      </c>
      <c r="B314" s="4">
        <f>IF($V314="","",INDEX(DIAS_SEMANA,WEEKDAY(INDEX($R$2:$R$401,$V314),2)))</f>
        <v/>
      </c>
      <c r="C314" s="4">
        <f>IF($V314="","","Tema "&amp;INDEX($P$2:$P$401,$V314))</f>
        <v/>
      </c>
      <c r="D314" s="70">
        <f>IF($V314="","",INDEX($Q$2:$Q$401,$V314))</f>
        <v/>
      </c>
      <c r="E314" s="4">
        <f>IF($V314="","",IF(INDEX($S$2:$S$401,$V314)&lt;&gt;"",INDEX($S$2:$S$401,$V314),IF(INDEX($R$2:$R$401,$V314)&lt;$B$2,"Vencida",IF(INDEX($R$2:$R$401,$V314)=$B$2,"Hoy","Programada"))))</f>
        <v/>
      </c>
      <c r="P314" s="26" t="n">
        <v>32</v>
      </c>
      <c r="Q314" s="26" t="n">
        <v>3</v>
      </c>
      <c r="R314" s="26">
        <f>INDEX(Progreso!$AZ$2:$BI$41,$P314,$Q314)</f>
        <v/>
      </c>
      <c r="S314" s="18">
        <f>IF(INDEX(Progreso!$AB$2:$AK$41,$P314,$Q314)=0,"",INDEX(Progreso!$AB$2:$AK$41,$P314,$Q314))</f>
        <v/>
      </c>
      <c r="T314" s="26">
        <f>IF($R314=0,"",COUNTIFS($R$2:$R$401,"&gt;0",$R$2:$R$401,"&lt;"&amp;$R314)+COUNTIFS($R$2:R314,"="&amp;$R314))</f>
        <v/>
      </c>
      <c r="V314" s="26">
        <f>IFERROR(MATCH(ROW()-ROW($V$12),$T$2:$T$401,0),"")</f>
        <v/>
      </c>
    </row>
    <row r="315" ht="22.5" customHeight="1">
      <c r="A315" s="78">
        <f>IF($V315="","",INDEX($R$2:$R$401,$V315))</f>
        <v/>
      </c>
      <c r="B315" s="2">
        <f>IF($V315="","",INDEX(DIAS_SEMANA,WEEKDAY(INDEX($R$2:$R$401,$V315),2)))</f>
        <v/>
      </c>
      <c r="C315" s="2">
        <f>IF($V315="","","Tema "&amp;INDEX($P$2:$P$401,$V315))</f>
        <v/>
      </c>
      <c r="D315" s="69">
        <f>IF($V315="","",INDEX($Q$2:$Q$401,$V315))</f>
        <v/>
      </c>
      <c r="E315" s="2">
        <f>IF($V315="","",IF(INDEX($S$2:$S$401,$V315)&lt;&gt;"",INDEX($S$2:$S$401,$V315),IF(INDEX($R$2:$R$401,$V315)&lt;$B$2,"Vencida",IF(INDEX($R$2:$R$401,$V315)=$B$2,"Hoy","Programada"))))</f>
        <v/>
      </c>
      <c r="P315" s="26" t="n">
        <v>32</v>
      </c>
      <c r="Q315" s="26" t="n">
        <v>4</v>
      </c>
      <c r="R315" s="26">
        <f>INDEX(Progreso!$AZ$2:$BI$41,$P315,$Q315)</f>
        <v/>
      </c>
      <c r="S315" s="18">
        <f>IF(INDEX(Progreso!$AB$2:$AK$41,$P315,$Q315)=0,"",INDEX(Progreso!$AB$2:$AK$41,$P315,$Q315))</f>
        <v/>
      </c>
      <c r="T315" s="26">
        <f>IF($R315=0,"",COUNTIFS($R$2:$R$401,"&gt;0",$R$2:$R$401,"&lt;"&amp;$R315)+COUNTIFS($R$2:R315,"="&amp;$R315))</f>
        <v/>
      </c>
      <c r="V315" s="26">
        <f>IFERROR(MATCH(ROW()-ROW($V$12),$T$2:$T$401,0),"")</f>
        <v/>
      </c>
    </row>
    <row r="316" ht="22.5" customHeight="1">
      <c r="A316" s="85">
        <f>IF($V316="","",INDEX($R$2:$R$401,$V316))</f>
        <v/>
      </c>
      <c r="B316" s="4">
        <f>IF($V316="","",INDEX(DIAS_SEMANA,WEEKDAY(INDEX($R$2:$R$401,$V316),2)))</f>
        <v/>
      </c>
      <c r="C316" s="4">
        <f>IF($V316="","","Tema "&amp;INDEX($P$2:$P$401,$V316))</f>
        <v/>
      </c>
      <c r="D316" s="70">
        <f>IF($V316="","",INDEX($Q$2:$Q$401,$V316))</f>
        <v/>
      </c>
      <c r="E316" s="4">
        <f>IF($V316="","",IF(INDEX($S$2:$S$401,$V316)&lt;&gt;"",INDEX($S$2:$S$401,$V316),IF(INDEX($R$2:$R$401,$V316)&lt;$B$2,"Vencida",IF(INDEX($R$2:$R$401,$V316)=$B$2,"Hoy","Programada"))))</f>
        <v/>
      </c>
      <c r="P316" s="26" t="n">
        <v>32</v>
      </c>
      <c r="Q316" s="26" t="n">
        <v>5</v>
      </c>
      <c r="R316" s="26">
        <f>INDEX(Progreso!$AZ$2:$BI$41,$P316,$Q316)</f>
        <v/>
      </c>
      <c r="S316" s="18">
        <f>IF(INDEX(Progreso!$AB$2:$AK$41,$P316,$Q316)=0,"",INDEX(Progreso!$AB$2:$AK$41,$P316,$Q316))</f>
        <v/>
      </c>
      <c r="T316" s="26">
        <f>IF($R316=0,"",COUNTIFS($R$2:$R$401,"&gt;0",$R$2:$R$401,"&lt;"&amp;$R316)+COUNTIFS($R$2:R316,"="&amp;$R316))</f>
        <v/>
      </c>
      <c r="V316" s="26">
        <f>IFERROR(MATCH(ROW()-ROW($V$12),$T$2:$T$401,0),"")</f>
        <v/>
      </c>
    </row>
    <row r="317" ht="22.5" customHeight="1">
      <c r="A317" s="78">
        <f>IF($V317="","",INDEX($R$2:$R$401,$V317))</f>
        <v/>
      </c>
      <c r="B317" s="2">
        <f>IF($V317="","",INDEX(DIAS_SEMANA,WEEKDAY(INDEX($R$2:$R$401,$V317),2)))</f>
        <v/>
      </c>
      <c r="C317" s="2">
        <f>IF($V317="","","Tema "&amp;INDEX($P$2:$P$401,$V317))</f>
        <v/>
      </c>
      <c r="D317" s="69">
        <f>IF($V317="","",INDEX($Q$2:$Q$401,$V317))</f>
        <v/>
      </c>
      <c r="E317" s="2">
        <f>IF($V317="","",IF(INDEX($S$2:$S$401,$V317)&lt;&gt;"",INDEX($S$2:$S$401,$V317),IF(INDEX($R$2:$R$401,$V317)&lt;$B$2,"Vencida",IF(INDEX($R$2:$R$401,$V317)=$B$2,"Hoy","Programada"))))</f>
        <v/>
      </c>
      <c r="P317" s="26" t="n">
        <v>32</v>
      </c>
      <c r="Q317" s="26" t="n">
        <v>6</v>
      </c>
      <c r="R317" s="26">
        <f>INDEX(Progreso!$AZ$2:$BI$41,$P317,$Q317)</f>
        <v/>
      </c>
      <c r="S317" s="18">
        <f>IF(INDEX(Progreso!$AB$2:$AK$41,$P317,$Q317)=0,"",INDEX(Progreso!$AB$2:$AK$41,$P317,$Q317))</f>
        <v/>
      </c>
      <c r="T317" s="26">
        <f>IF($R317=0,"",COUNTIFS($R$2:$R$401,"&gt;0",$R$2:$R$401,"&lt;"&amp;$R317)+COUNTIFS($R$2:R317,"="&amp;$R317))</f>
        <v/>
      </c>
      <c r="V317" s="26">
        <f>IFERROR(MATCH(ROW()-ROW($V$12),$T$2:$T$401,0),"")</f>
        <v/>
      </c>
    </row>
    <row r="318" ht="22.5" customHeight="1">
      <c r="A318" s="85">
        <f>IF($V318="","",INDEX($R$2:$R$401,$V318))</f>
        <v/>
      </c>
      <c r="B318" s="4">
        <f>IF($V318="","",INDEX(DIAS_SEMANA,WEEKDAY(INDEX($R$2:$R$401,$V318),2)))</f>
        <v/>
      </c>
      <c r="C318" s="4">
        <f>IF($V318="","","Tema "&amp;INDEX($P$2:$P$401,$V318))</f>
        <v/>
      </c>
      <c r="D318" s="70">
        <f>IF($V318="","",INDEX($Q$2:$Q$401,$V318))</f>
        <v/>
      </c>
      <c r="E318" s="4">
        <f>IF($V318="","",IF(INDEX($S$2:$S$401,$V318)&lt;&gt;"",INDEX($S$2:$S$401,$V318),IF(INDEX($R$2:$R$401,$V318)&lt;$B$2,"Vencida",IF(INDEX($R$2:$R$401,$V318)=$B$2,"Hoy","Programada"))))</f>
        <v/>
      </c>
      <c r="P318" s="26" t="n">
        <v>32</v>
      </c>
      <c r="Q318" s="26" t="n">
        <v>7</v>
      </c>
      <c r="R318" s="26">
        <f>INDEX(Progreso!$AZ$2:$BI$41,$P318,$Q318)</f>
        <v/>
      </c>
      <c r="S318" s="18">
        <f>IF(INDEX(Progreso!$AB$2:$AK$41,$P318,$Q318)=0,"",INDEX(Progreso!$AB$2:$AK$41,$P318,$Q318))</f>
        <v/>
      </c>
      <c r="T318" s="26">
        <f>IF($R318=0,"",COUNTIFS($R$2:$R$401,"&gt;0",$R$2:$R$401,"&lt;"&amp;$R318)+COUNTIFS($R$2:R318,"="&amp;$R318))</f>
        <v/>
      </c>
      <c r="V318" s="26">
        <f>IFERROR(MATCH(ROW()-ROW($V$12),$T$2:$T$401,0),"")</f>
        <v/>
      </c>
    </row>
    <row r="319" ht="22.5" customHeight="1">
      <c r="A319" s="78">
        <f>IF($V319="","",INDEX($R$2:$R$401,$V319))</f>
        <v/>
      </c>
      <c r="B319" s="2">
        <f>IF($V319="","",INDEX(DIAS_SEMANA,WEEKDAY(INDEX($R$2:$R$401,$V319),2)))</f>
        <v/>
      </c>
      <c r="C319" s="2">
        <f>IF($V319="","","Tema "&amp;INDEX($P$2:$P$401,$V319))</f>
        <v/>
      </c>
      <c r="D319" s="69">
        <f>IF($V319="","",INDEX($Q$2:$Q$401,$V319))</f>
        <v/>
      </c>
      <c r="E319" s="2">
        <f>IF($V319="","",IF(INDEX($S$2:$S$401,$V319)&lt;&gt;"",INDEX($S$2:$S$401,$V319),IF(INDEX($R$2:$R$401,$V319)&lt;$B$2,"Vencida",IF(INDEX($R$2:$R$401,$V319)=$B$2,"Hoy","Programada"))))</f>
        <v/>
      </c>
      <c r="P319" s="26" t="n">
        <v>32</v>
      </c>
      <c r="Q319" s="26" t="n">
        <v>8</v>
      </c>
      <c r="R319" s="26">
        <f>INDEX(Progreso!$AZ$2:$BI$41,$P319,$Q319)</f>
        <v/>
      </c>
      <c r="S319" s="18">
        <f>IF(INDEX(Progreso!$AB$2:$AK$41,$P319,$Q319)=0,"",INDEX(Progreso!$AB$2:$AK$41,$P319,$Q319))</f>
        <v/>
      </c>
      <c r="T319" s="26">
        <f>IF($R319=0,"",COUNTIFS($R$2:$R$401,"&gt;0",$R$2:$R$401,"&lt;"&amp;$R319)+COUNTIFS($R$2:R319,"="&amp;$R319))</f>
        <v/>
      </c>
      <c r="V319" s="26">
        <f>IFERROR(MATCH(ROW()-ROW($V$12),$T$2:$T$401,0),"")</f>
        <v/>
      </c>
    </row>
    <row r="320" ht="22.5" customHeight="1">
      <c r="A320" s="85">
        <f>IF($V320="","",INDEX($R$2:$R$401,$V320))</f>
        <v/>
      </c>
      <c r="B320" s="4">
        <f>IF($V320="","",INDEX(DIAS_SEMANA,WEEKDAY(INDEX($R$2:$R$401,$V320),2)))</f>
        <v/>
      </c>
      <c r="C320" s="4">
        <f>IF($V320="","","Tema "&amp;INDEX($P$2:$P$401,$V320))</f>
        <v/>
      </c>
      <c r="D320" s="70">
        <f>IF($V320="","",INDEX($Q$2:$Q$401,$V320))</f>
        <v/>
      </c>
      <c r="E320" s="4">
        <f>IF($V320="","",IF(INDEX($S$2:$S$401,$V320)&lt;&gt;"",INDEX($S$2:$S$401,$V320),IF(INDEX($R$2:$R$401,$V320)&lt;$B$2,"Vencida",IF(INDEX($R$2:$R$401,$V320)=$B$2,"Hoy","Programada"))))</f>
        <v/>
      </c>
      <c r="P320" s="26" t="n">
        <v>32</v>
      </c>
      <c r="Q320" s="26" t="n">
        <v>9</v>
      </c>
      <c r="R320" s="26">
        <f>INDEX(Progreso!$AZ$2:$BI$41,$P320,$Q320)</f>
        <v/>
      </c>
      <c r="S320" s="18">
        <f>IF(INDEX(Progreso!$AB$2:$AK$41,$P320,$Q320)=0,"",INDEX(Progreso!$AB$2:$AK$41,$P320,$Q320))</f>
        <v/>
      </c>
      <c r="T320" s="26">
        <f>IF($R320=0,"",COUNTIFS($R$2:$R$401,"&gt;0",$R$2:$R$401,"&lt;"&amp;$R320)+COUNTIFS($R$2:R320,"="&amp;$R320))</f>
        <v/>
      </c>
      <c r="V320" s="26">
        <f>IFERROR(MATCH(ROW()-ROW($V$12),$T$2:$T$401,0),"")</f>
        <v/>
      </c>
    </row>
    <row r="321" ht="22.5" customHeight="1">
      <c r="A321" s="78">
        <f>IF($V321="","",INDEX($R$2:$R$401,$V321))</f>
        <v/>
      </c>
      <c r="B321" s="2">
        <f>IF($V321="","",INDEX(DIAS_SEMANA,WEEKDAY(INDEX($R$2:$R$401,$V321),2)))</f>
        <v/>
      </c>
      <c r="C321" s="2">
        <f>IF($V321="","","Tema "&amp;INDEX($P$2:$P$401,$V321))</f>
        <v/>
      </c>
      <c r="D321" s="69">
        <f>IF($V321="","",INDEX($Q$2:$Q$401,$V321))</f>
        <v/>
      </c>
      <c r="E321" s="2">
        <f>IF($V321="","",IF(INDEX($S$2:$S$401,$V321)&lt;&gt;"",INDEX($S$2:$S$401,$V321),IF(INDEX($R$2:$R$401,$V321)&lt;$B$2,"Vencida",IF(INDEX($R$2:$R$401,$V321)=$B$2,"Hoy","Programada"))))</f>
        <v/>
      </c>
      <c r="P321" s="26" t="n">
        <v>32</v>
      </c>
      <c r="Q321" s="26" t="n">
        <v>10</v>
      </c>
      <c r="R321" s="26">
        <f>INDEX(Progreso!$AZ$2:$BI$41,$P321,$Q321)</f>
        <v/>
      </c>
      <c r="S321" s="18">
        <f>IF(INDEX(Progreso!$AB$2:$AK$41,$P321,$Q321)=0,"",INDEX(Progreso!$AB$2:$AK$41,$P321,$Q321))</f>
        <v/>
      </c>
      <c r="T321" s="26">
        <f>IF($R321=0,"",COUNTIFS($R$2:$R$401,"&gt;0",$R$2:$R$401,"&lt;"&amp;$R321)+COUNTIFS($R$2:R321,"="&amp;$R321))</f>
        <v/>
      </c>
      <c r="V321" s="26">
        <f>IFERROR(MATCH(ROW()-ROW($V$12),$T$2:$T$401,0),"")</f>
        <v/>
      </c>
    </row>
    <row r="322" ht="22.5" customHeight="1">
      <c r="A322" s="85">
        <f>IF($V322="","",INDEX($R$2:$R$401,$V322))</f>
        <v/>
      </c>
      <c r="B322" s="4">
        <f>IF($V322="","",INDEX(DIAS_SEMANA,WEEKDAY(INDEX($R$2:$R$401,$V322),2)))</f>
        <v/>
      </c>
      <c r="C322" s="4">
        <f>IF($V322="","","Tema "&amp;INDEX($P$2:$P$401,$V322))</f>
        <v/>
      </c>
      <c r="D322" s="70">
        <f>IF($V322="","",INDEX($Q$2:$Q$401,$V322))</f>
        <v/>
      </c>
      <c r="E322" s="4">
        <f>IF($V322="","",IF(INDEX($S$2:$S$401,$V322)&lt;&gt;"",INDEX($S$2:$S$401,$V322),IF(INDEX($R$2:$R$401,$V322)&lt;$B$2,"Vencida",IF(INDEX($R$2:$R$401,$V322)=$B$2,"Hoy","Programada"))))</f>
        <v/>
      </c>
      <c r="P322" s="26" t="n">
        <v>33</v>
      </c>
      <c r="Q322" s="26" t="n">
        <v>1</v>
      </c>
      <c r="R322" s="26">
        <f>INDEX(Progreso!$AZ$2:$BI$41,$P322,$Q322)</f>
        <v/>
      </c>
      <c r="S322" s="18">
        <f>IF(INDEX(Progreso!$AB$2:$AK$41,$P322,$Q322)=0,"",INDEX(Progreso!$AB$2:$AK$41,$P322,$Q322))</f>
        <v/>
      </c>
      <c r="T322" s="26">
        <f>IF($R322=0,"",COUNTIFS($R$2:$R$401,"&gt;0",$R$2:$R$401,"&lt;"&amp;$R322)+COUNTIFS($R$2:R322,"="&amp;$R322))</f>
        <v/>
      </c>
      <c r="V322" s="26">
        <f>IFERROR(MATCH(ROW()-ROW($V$12),$T$2:$T$401,0),"")</f>
        <v/>
      </c>
    </row>
    <row r="323" ht="22.5" customHeight="1">
      <c r="A323" s="78">
        <f>IF($V323="","",INDEX($R$2:$R$401,$V323))</f>
        <v/>
      </c>
      <c r="B323" s="2">
        <f>IF($V323="","",INDEX(DIAS_SEMANA,WEEKDAY(INDEX($R$2:$R$401,$V323),2)))</f>
        <v/>
      </c>
      <c r="C323" s="2">
        <f>IF($V323="","","Tema "&amp;INDEX($P$2:$P$401,$V323))</f>
        <v/>
      </c>
      <c r="D323" s="69">
        <f>IF($V323="","",INDEX($Q$2:$Q$401,$V323))</f>
        <v/>
      </c>
      <c r="E323" s="2">
        <f>IF($V323="","",IF(INDEX($S$2:$S$401,$V323)&lt;&gt;"",INDEX($S$2:$S$401,$V323),IF(INDEX($R$2:$R$401,$V323)&lt;$B$2,"Vencida",IF(INDEX($R$2:$R$401,$V323)=$B$2,"Hoy","Programada"))))</f>
        <v/>
      </c>
      <c r="P323" s="26" t="n">
        <v>33</v>
      </c>
      <c r="Q323" s="26" t="n">
        <v>2</v>
      </c>
      <c r="R323" s="26">
        <f>INDEX(Progreso!$AZ$2:$BI$41,$P323,$Q323)</f>
        <v/>
      </c>
      <c r="S323" s="18">
        <f>IF(INDEX(Progreso!$AB$2:$AK$41,$P323,$Q323)=0,"",INDEX(Progreso!$AB$2:$AK$41,$P323,$Q323))</f>
        <v/>
      </c>
      <c r="T323" s="26">
        <f>IF($R323=0,"",COUNTIFS($R$2:$R$401,"&gt;0",$R$2:$R$401,"&lt;"&amp;$R323)+COUNTIFS($R$2:R323,"="&amp;$R323))</f>
        <v/>
      </c>
      <c r="V323" s="26">
        <f>IFERROR(MATCH(ROW()-ROW($V$12),$T$2:$T$401,0),"")</f>
        <v/>
      </c>
    </row>
    <row r="324" ht="22.5" customHeight="1">
      <c r="A324" s="85">
        <f>IF($V324="","",INDEX($R$2:$R$401,$V324))</f>
        <v/>
      </c>
      <c r="B324" s="4">
        <f>IF($V324="","",INDEX(DIAS_SEMANA,WEEKDAY(INDEX($R$2:$R$401,$V324),2)))</f>
        <v/>
      </c>
      <c r="C324" s="4">
        <f>IF($V324="","","Tema "&amp;INDEX($P$2:$P$401,$V324))</f>
        <v/>
      </c>
      <c r="D324" s="70">
        <f>IF($V324="","",INDEX($Q$2:$Q$401,$V324))</f>
        <v/>
      </c>
      <c r="E324" s="4">
        <f>IF($V324="","",IF(INDEX($S$2:$S$401,$V324)&lt;&gt;"",INDEX($S$2:$S$401,$V324),IF(INDEX($R$2:$R$401,$V324)&lt;$B$2,"Vencida",IF(INDEX($R$2:$R$401,$V324)=$B$2,"Hoy","Programada"))))</f>
        <v/>
      </c>
      <c r="P324" s="26" t="n">
        <v>33</v>
      </c>
      <c r="Q324" s="26" t="n">
        <v>3</v>
      </c>
      <c r="R324" s="26">
        <f>INDEX(Progreso!$AZ$2:$BI$41,$P324,$Q324)</f>
        <v/>
      </c>
      <c r="S324" s="18">
        <f>IF(INDEX(Progreso!$AB$2:$AK$41,$P324,$Q324)=0,"",INDEX(Progreso!$AB$2:$AK$41,$P324,$Q324))</f>
        <v/>
      </c>
      <c r="T324" s="26">
        <f>IF($R324=0,"",COUNTIFS($R$2:$R$401,"&gt;0",$R$2:$R$401,"&lt;"&amp;$R324)+COUNTIFS($R$2:R324,"="&amp;$R324))</f>
        <v/>
      </c>
      <c r="V324" s="26">
        <f>IFERROR(MATCH(ROW()-ROW($V$12),$T$2:$T$401,0),"")</f>
        <v/>
      </c>
    </row>
    <row r="325" ht="22.5" customHeight="1">
      <c r="A325" s="78">
        <f>IF($V325="","",INDEX($R$2:$R$401,$V325))</f>
        <v/>
      </c>
      <c r="B325" s="2">
        <f>IF($V325="","",INDEX(DIAS_SEMANA,WEEKDAY(INDEX($R$2:$R$401,$V325),2)))</f>
        <v/>
      </c>
      <c r="C325" s="2">
        <f>IF($V325="","","Tema "&amp;INDEX($P$2:$P$401,$V325))</f>
        <v/>
      </c>
      <c r="D325" s="69">
        <f>IF($V325="","",INDEX($Q$2:$Q$401,$V325))</f>
        <v/>
      </c>
      <c r="E325" s="2">
        <f>IF($V325="","",IF(INDEX($S$2:$S$401,$V325)&lt;&gt;"",INDEX($S$2:$S$401,$V325),IF(INDEX($R$2:$R$401,$V325)&lt;$B$2,"Vencida",IF(INDEX($R$2:$R$401,$V325)=$B$2,"Hoy","Programada"))))</f>
        <v/>
      </c>
      <c r="P325" s="26" t="n">
        <v>33</v>
      </c>
      <c r="Q325" s="26" t="n">
        <v>4</v>
      </c>
      <c r="R325" s="26">
        <f>INDEX(Progreso!$AZ$2:$BI$41,$P325,$Q325)</f>
        <v/>
      </c>
      <c r="S325" s="18">
        <f>IF(INDEX(Progreso!$AB$2:$AK$41,$P325,$Q325)=0,"",INDEX(Progreso!$AB$2:$AK$41,$P325,$Q325))</f>
        <v/>
      </c>
      <c r="T325" s="26">
        <f>IF($R325=0,"",COUNTIFS($R$2:$R$401,"&gt;0",$R$2:$R$401,"&lt;"&amp;$R325)+COUNTIFS($R$2:R325,"="&amp;$R325))</f>
        <v/>
      </c>
      <c r="V325" s="26">
        <f>IFERROR(MATCH(ROW()-ROW($V$12),$T$2:$T$401,0),"")</f>
        <v/>
      </c>
    </row>
    <row r="326" ht="22.5" customHeight="1">
      <c r="A326" s="85">
        <f>IF($V326="","",INDEX($R$2:$R$401,$V326))</f>
        <v/>
      </c>
      <c r="B326" s="4">
        <f>IF($V326="","",INDEX(DIAS_SEMANA,WEEKDAY(INDEX($R$2:$R$401,$V326),2)))</f>
        <v/>
      </c>
      <c r="C326" s="4">
        <f>IF($V326="","","Tema "&amp;INDEX($P$2:$P$401,$V326))</f>
        <v/>
      </c>
      <c r="D326" s="70">
        <f>IF($V326="","",INDEX($Q$2:$Q$401,$V326))</f>
        <v/>
      </c>
      <c r="E326" s="4">
        <f>IF($V326="","",IF(INDEX($S$2:$S$401,$V326)&lt;&gt;"",INDEX($S$2:$S$401,$V326),IF(INDEX($R$2:$R$401,$V326)&lt;$B$2,"Vencida",IF(INDEX($R$2:$R$401,$V326)=$B$2,"Hoy","Programada"))))</f>
        <v/>
      </c>
      <c r="P326" s="26" t="n">
        <v>33</v>
      </c>
      <c r="Q326" s="26" t="n">
        <v>5</v>
      </c>
      <c r="R326" s="26">
        <f>INDEX(Progreso!$AZ$2:$BI$41,$P326,$Q326)</f>
        <v/>
      </c>
      <c r="S326" s="18">
        <f>IF(INDEX(Progreso!$AB$2:$AK$41,$P326,$Q326)=0,"",INDEX(Progreso!$AB$2:$AK$41,$P326,$Q326))</f>
        <v/>
      </c>
      <c r="T326" s="26">
        <f>IF($R326=0,"",COUNTIFS($R$2:$R$401,"&gt;0",$R$2:$R$401,"&lt;"&amp;$R326)+COUNTIFS($R$2:R326,"="&amp;$R326))</f>
        <v/>
      </c>
      <c r="V326" s="26">
        <f>IFERROR(MATCH(ROW()-ROW($V$12),$T$2:$T$401,0),"")</f>
        <v/>
      </c>
    </row>
    <row r="327" ht="22.5" customHeight="1">
      <c r="A327" s="78">
        <f>IF($V327="","",INDEX($R$2:$R$401,$V327))</f>
        <v/>
      </c>
      <c r="B327" s="2">
        <f>IF($V327="","",INDEX(DIAS_SEMANA,WEEKDAY(INDEX($R$2:$R$401,$V327),2)))</f>
        <v/>
      </c>
      <c r="C327" s="2">
        <f>IF($V327="","","Tema "&amp;INDEX($P$2:$P$401,$V327))</f>
        <v/>
      </c>
      <c r="D327" s="69">
        <f>IF($V327="","",INDEX($Q$2:$Q$401,$V327))</f>
        <v/>
      </c>
      <c r="E327" s="2">
        <f>IF($V327="","",IF(INDEX($S$2:$S$401,$V327)&lt;&gt;"",INDEX($S$2:$S$401,$V327),IF(INDEX($R$2:$R$401,$V327)&lt;$B$2,"Vencida",IF(INDEX($R$2:$R$401,$V327)=$B$2,"Hoy","Programada"))))</f>
        <v/>
      </c>
      <c r="P327" s="26" t="n">
        <v>33</v>
      </c>
      <c r="Q327" s="26" t="n">
        <v>6</v>
      </c>
      <c r="R327" s="26">
        <f>INDEX(Progreso!$AZ$2:$BI$41,$P327,$Q327)</f>
        <v/>
      </c>
      <c r="S327" s="18">
        <f>IF(INDEX(Progreso!$AB$2:$AK$41,$P327,$Q327)=0,"",INDEX(Progreso!$AB$2:$AK$41,$P327,$Q327))</f>
        <v/>
      </c>
      <c r="T327" s="26">
        <f>IF($R327=0,"",COUNTIFS($R$2:$R$401,"&gt;0",$R$2:$R$401,"&lt;"&amp;$R327)+COUNTIFS($R$2:R327,"="&amp;$R327))</f>
        <v/>
      </c>
      <c r="V327" s="26">
        <f>IFERROR(MATCH(ROW()-ROW($V$12),$T$2:$T$401,0),"")</f>
        <v/>
      </c>
    </row>
    <row r="328" ht="22.5" customHeight="1">
      <c r="A328" s="85">
        <f>IF($V328="","",INDEX($R$2:$R$401,$V328))</f>
        <v/>
      </c>
      <c r="B328" s="4">
        <f>IF($V328="","",INDEX(DIAS_SEMANA,WEEKDAY(INDEX($R$2:$R$401,$V328),2)))</f>
        <v/>
      </c>
      <c r="C328" s="4">
        <f>IF($V328="","","Tema "&amp;INDEX($P$2:$P$401,$V328))</f>
        <v/>
      </c>
      <c r="D328" s="70">
        <f>IF($V328="","",INDEX($Q$2:$Q$401,$V328))</f>
        <v/>
      </c>
      <c r="E328" s="4">
        <f>IF($V328="","",IF(INDEX($S$2:$S$401,$V328)&lt;&gt;"",INDEX($S$2:$S$401,$V328),IF(INDEX($R$2:$R$401,$V328)&lt;$B$2,"Vencida",IF(INDEX($R$2:$R$401,$V328)=$B$2,"Hoy","Programada"))))</f>
        <v/>
      </c>
      <c r="P328" s="26" t="n">
        <v>33</v>
      </c>
      <c r="Q328" s="26" t="n">
        <v>7</v>
      </c>
      <c r="R328" s="26">
        <f>INDEX(Progreso!$AZ$2:$BI$41,$P328,$Q328)</f>
        <v/>
      </c>
      <c r="S328" s="18">
        <f>IF(INDEX(Progreso!$AB$2:$AK$41,$P328,$Q328)=0,"",INDEX(Progreso!$AB$2:$AK$41,$P328,$Q328))</f>
        <v/>
      </c>
      <c r="T328" s="26">
        <f>IF($R328=0,"",COUNTIFS($R$2:$R$401,"&gt;0",$R$2:$R$401,"&lt;"&amp;$R328)+COUNTIFS($R$2:R328,"="&amp;$R328))</f>
        <v/>
      </c>
      <c r="V328" s="26">
        <f>IFERROR(MATCH(ROW()-ROW($V$12),$T$2:$T$401,0),"")</f>
        <v/>
      </c>
    </row>
    <row r="329" ht="22.5" customHeight="1">
      <c r="A329" s="78">
        <f>IF($V329="","",INDEX($R$2:$R$401,$V329))</f>
        <v/>
      </c>
      <c r="B329" s="2">
        <f>IF($V329="","",INDEX(DIAS_SEMANA,WEEKDAY(INDEX($R$2:$R$401,$V329),2)))</f>
        <v/>
      </c>
      <c r="C329" s="2">
        <f>IF($V329="","","Tema "&amp;INDEX($P$2:$P$401,$V329))</f>
        <v/>
      </c>
      <c r="D329" s="69">
        <f>IF($V329="","",INDEX($Q$2:$Q$401,$V329))</f>
        <v/>
      </c>
      <c r="E329" s="2">
        <f>IF($V329="","",IF(INDEX($S$2:$S$401,$V329)&lt;&gt;"",INDEX($S$2:$S$401,$V329),IF(INDEX($R$2:$R$401,$V329)&lt;$B$2,"Vencida",IF(INDEX($R$2:$R$401,$V329)=$B$2,"Hoy","Programada"))))</f>
        <v/>
      </c>
      <c r="P329" s="26" t="n">
        <v>33</v>
      </c>
      <c r="Q329" s="26" t="n">
        <v>8</v>
      </c>
      <c r="R329" s="26">
        <f>INDEX(Progreso!$AZ$2:$BI$41,$P329,$Q329)</f>
        <v/>
      </c>
      <c r="S329" s="18">
        <f>IF(INDEX(Progreso!$AB$2:$AK$41,$P329,$Q329)=0,"",INDEX(Progreso!$AB$2:$AK$41,$P329,$Q329))</f>
        <v/>
      </c>
      <c r="T329" s="26">
        <f>IF($R329=0,"",COUNTIFS($R$2:$R$401,"&gt;0",$R$2:$R$401,"&lt;"&amp;$R329)+COUNTIFS($R$2:R329,"="&amp;$R329))</f>
        <v/>
      </c>
      <c r="V329" s="26">
        <f>IFERROR(MATCH(ROW()-ROW($V$12),$T$2:$T$401,0),"")</f>
        <v/>
      </c>
    </row>
    <row r="330" ht="22.5" customHeight="1">
      <c r="A330" s="85">
        <f>IF($V330="","",INDEX($R$2:$R$401,$V330))</f>
        <v/>
      </c>
      <c r="B330" s="4">
        <f>IF($V330="","",INDEX(DIAS_SEMANA,WEEKDAY(INDEX($R$2:$R$401,$V330),2)))</f>
        <v/>
      </c>
      <c r="C330" s="4">
        <f>IF($V330="","","Tema "&amp;INDEX($P$2:$P$401,$V330))</f>
        <v/>
      </c>
      <c r="D330" s="70">
        <f>IF($V330="","",INDEX($Q$2:$Q$401,$V330))</f>
        <v/>
      </c>
      <c r="E330" s="4">
        <f>IF($V330="","",IF(INDEX($S$2:$S$401,$V330)&lt;&gt;"",INDEX($S$2:$S$401,$V330),IF(INDEX($R$2:$R$401,$V330)&lt;$B$2,"Vencida",IF(INDEX($R$2:$R$401,$V330)=$B$2,"Hoy","Programada"))))</f>
        <v/>
      </c>
      <c r="P330" s="26" t="n">
        <v>33</v>
      </c>
      <c r="Q330" s="26" t="n">
        <v>9</v>
      </c>
      <c r="R330" s="26">
        <f>INDEX(Progreso!$AZ$2:$BI$41,$P330,$Q330)</f>
        <v/>
      </c>
      <c r="S330" s="18">
        <f>IF(INDEX(Progreso!$AB$2:$AK$41,$P330,$Q330)=0,"",INDEX(Progreso!$AB$2:$AK$41,$P330,$Q330))</f>
        <v/>
      </c>
      <c r="T330" s="26">
        <f>IF($R330=0,"",COUNTIFS($R$2:$R$401,"&gt;0",$R$2:$R$401,"&lt;"&amp;$R330)+COUNTIFS($R$2:R330,"="&amp;$R330))</f>
        <v/>
      </c>
      <c r="V330" s="26">
        <f>IFERROR(MATCH(ROW()-ROW($V$12),$T$2:$T$401,0),"")</f>
        <v/>
      </c>
    </row>
    <row r="331" ht="22.5" customHeight="1">
      <c r="A331" s="78">
        <f>IF($V331="","",INDEX($R$2:$R$401,$V331))</f>
        <v/>
      </c>
      <c r="B331" s="2">
        <f>IF($V331="","",INDEX(DIAS_SEMANA,WEEKDAY(INDEX($R$2:$R$401,$V331),2)))</f>
        <v/>
      </c>
      <c r="C331" s="2">
        <f>IF($V331="","","Tema "&amp;INDEX($P$2:$P$401,$V331))</f>
        <v/>
      </c>
      <c r="D331" s="69">
        <f>IF($V331="","",INDEX($Q$2:$Q$401,$V331))</f>
        <v/>
      </c>
      <c r="E331" s="2">
        <f>IF($V331="","",IF(INDEX($S$2:$S$401,$V331)&lt;&gt;"",INDEX($S$2:$S$401,$V331),IF(INDEX($R$2:$R$401,$V331)&lt;$B$2,"Vencida",IF(INDEX($R$2:$R$401,$V331)=$B$2,"Hoy","Programada"))))</f>
        <v/>
      </c>
      <c r="P331" s="26" t="n">
        <v>33</v>
      </c>
      <c r="Q331" s="26" t="n">
        <v>10</v>
      </c>
      <c r="R331" s="26">
        <f>INDEX(Progreso!$AZ$2:$BI$41,$P331,$Q331)</f>
        <v/>
      </c>
      <c r="S331" s="18">
        <f>IF(INDEX(Progreso!$AB$2:$AK$41,$P331,$Q331)=0,"",INDEX(Progreso!$AB$2:$AK$41,$P331,$Q331))</f>
        <v/>
      </c>
      <c r="T331" s="26">
        <f>IF($R331=0,"",COUNTIFS($R$2:$R$401,"&gt;0",$R$2:$R$401,"&lt;"&amp;$R331)+COUNTIFS($R$2:R331,"="&amp;$R331))</f>
        <v/>
      </c>
      <c r="V331" s="26">
        <f>IFERROR(MATCH(ROW()-ROW($V$12),$T$2:$T$401,0),"")</f>
        <v/>
      </c>
    </row>
    <row r="332" ht="22.5" customHeight="1">
      <c r="A332" s="85">
        <f>IF($V332="","",INDEX($R$2:$R$401,$V332))</f>
        <v/>
      </c>
      <c r="B332" s="4">
        <f>IF($V332="","",INDEX(DIAS_SEMANA,WEEKDAY(INDEX($R$2:$R$401,$V332),2)))</f>
        <v/>
      </c>
      <c r="C332" s="4">
        <f>IF($V332="","","Tema "&amp;INDEX($P$2:$P$401,$V332))</f>
        <v/>
      </c>
      <c r="D332" s="70">
        <f>IF($V332="","",INDEX($Q$2:$Q$401,$V332))</f>
        <v/>
      </c>
      <c r="E332" s="4">
        <f>IF($V332="","",IF(INDEX($S$2:$S$401,$V332)&lt;&gt;"",INDEX($S$2:$S$401,$V332),IF(INDEX($R$2:$R$401,$V332)&lt;$B$2,"Vencida",IF(INDEX($R$2:$R$401,$V332)=$B$2,"Hoy","Programada"))))</f>
        <v/>
      </c>
      <c r="P332" s="26" t="n">
        <v>34</v>
      </c>
      <c r="Q332" s="26" t="n">
        <v>1</v>
      </c>
      <c r="R332" s="26">
        <f>INDEX(Progreso!$AZ$2:$BI$41,$P332,$Q332)</f>
        <v/>
      </c>
      <c r="S332" s="18">
        <f>IF(INDEX(Progreso!$AB$2:$AK$41,$P332,$Q332)=0,"",INDEX(Progreso!$AB$2:$AK$41,$P332,$Q332))</f>
        <v/>
      </c>
      <c r="T332" s="26">
        <f>IF($R332=0,"",COUNTIFS($R$2:$R$401,"&gt;0",$R$2:$R$401,"&lt;"&amp;$R332)+COUNTIFS($R$2:R332,"="&amp;$R332))</f>
        <v/>
      </c>
      <c r="V332" s="26">
        <f>IFERROR(MATCH(ROW()-ROW($V$12),$T$2:$T$401,0),"")</f>
        <v/>
      </c>
    </row>
    <row r="333" ht="22.5" customHeight="1">
      <c r="A333" s="78">
        <f>IF($V333="","",INDEX($R$2:$R$401,$V333))</f>
        <v/>
      </c>
      <c r="B333" s="2">
        <f>IF($V333="","",INDEX(DIAS_SEMANA,WEEKDAY(INDEX($R$2:$R$401,$V333),2)))</f>
        <v/>
      </c>
      <c r="C333" s="2">
        <f>IF($V333="","","Tema "&amp;INDEX($P$2:$P$401,$V333))</f>
        <v/>
      </c>
      <c r="D333" s="69">
        <f>IF($V333="","",INDEX($Q$2:$Q$401,$V333))</f>
        <v/>
      </c>
      <c r="E333" s="2">
        <f>IF($V333="","",IF(INDEX($S$2:$S$401,$V333)&lt;&gt;"",INDEX($S$2:$S$401,$V333),IF(INDEX($R$2:$R$401,$V333)&lt;$B$2,"Vencida",IF(INDEX($R$2:$R$401,$V333)=$B$2,"Hoy","Programada"))))</f>
        <v/>
      </c>
      <c r="P333" s="26" t="n">
        <v>34</v>
      </c>
      <c r="Q333" s="26" t="n">
        <v>2</v>
      </c>
      <c r="R333" s="26">
        <f>INDEX(Progreso!$AZ$2:$BI$41,$P333,$Q333)</f>
        <v/>
      </c>
      <c r="S333" s="18">
        <f>IF(INDEX(Progreso!$AB$2:$AK$41,$P333,$Q333)=0,"",INDEX(Progreso!$AB$2:$AK$41,$P333,$Q333))</f>
        <v/>
      </c>
      <c r="T333" s="26">
        <f>IF($R333=0,"",COUNTIFS($R$2:$R$401,"&gt;0",$R$2:$R$401,"&lt;"&amp;$R333)+COUNTIFS($R$2:R333,"="&amp;$R333))</f>
        <v/>
      </c>
      <c r="V333" s="26">
        <f>IFERROR(MATCH(ROW()-ROW($V$12),$T$2:$T$401,0),"")</f>
        <v/>
      </c>
    </row>
    <row r="334" ht="22.5" customHeight="1">
      <c r="A334" s="85">
        <f>IF($V334="","",INDEX($R$2:$R$401,$V334))</f>
        <v/>
      </c>
      <c r="B334" s="4">
        <f>IF($V334="","",INDEX(DIAS_SEMANA,WEEKDAY(INDEX($R$2:$R$401,$V334),2)))</f>
        <v/>
      </c>
      <c r="C334" s="4">
        <f>IF($V334="","","Tema "&amp;INDEX($P$2:$P$401,$V334))</f>
        <v/>
      </c>
      <c r="D334" s="70">
        <f>IF($V334="","",INDEX($Q$2:$Q$401,$V334))</f>
        <v/>
      </c>
      <c r="E334" s="4">
        <f>IF($V334="","",IF(INDEX($S$2:$S$401,$V334)&lt;&gt;"",INDEX($S$2:$S$401,$V334),IF(INDEX($R$2:$R$401,$V334)&lt;$B$2,"Vencida",IF(INDEX($R$2:$R$401,$V334)=$B$2,"Hoy","Programada"))))</f>
        <v/>
      </c>
      <c r="P334" s="26" t="n">
        <v>34</v>
      </c>
      <c r="Q334" s="26" t="n">
        <v>3</v>
      </c>
      <c r="R334" s="26">
        <f>INDEX(Progreso!$AZ$2:$BI$41,$P334,$Q334)</f>
        <v/>
      </c>
      <c r="S334" s="18">
        <f>IF(INDEX(Progreso!$AB$2:$AK$41,$P334,$Q334)=0,"",INDEX(Progreso!$AB$2:$AK$41,$P334,$Q334))</f>
        <v/>
      </c>
      <c r="T334" s="26">
        <f>IF($R334=0,"",COUNTIFS($R$2:$R$401,"&gt;0",$R$2:$R$401,"&lt;"&amp;$R334)+COUNTIFS($R$2:R334,"="&amp;$R334))</f>
        <v/>
      </c>
      <c r="V334" s="26">
        <f>IFERROR(MATCH(ROW()-ROW($V$12),$T$2:$T$401,0),"")</f>
        <v/>
      </c>
    </row>
    <row r="335" ht="22.5" customHeight="1">
      <c r="A335" s="78">
        <f>IF($V335="","",INDEX($R$2:$R$401,$V335))</f>
        <v/>
      </c>
      <c r="B335" s="2">
        <f>IF($V335="","",INDEX(DIAS_SEMANA,WEEKDAY(INDEX($R$2:$R$401,$V335),2)))</f>
        <v/>
      </c>
      <c r="C335" s="2">
        <f>IF($V335="","","Tema "&amp;INDEX($P$2:$P$401,$V335))</f>
        <v/>
      </c>
      <c r="D335" s="69">
        <f>IF($V335="","",INDEX($Q$2:$Q$401,$V335))</f>
        <v/>
      </c>
      <c r="E335" s="2">
        <f>IF($V335="","",IF(INDEX($S$2:$S$401,$V335)&lt;&gt;"",INDEX($S$2:$S$401,$V335),IF(INDEX($R$2:$R$401,$V335)&lt;$B$2,"Vencida",IF(INDEX($R$2:$R$401,$V335)=$B$2,"Hoy","Programada"))))</f>
        <v/>
      </c>
      <c r="P335" s="26" t="n">
        <v>34</v>
      </c>
      <c r="Q335" s="26" t="n">
        <v>4</v>
      </c>
      <c r="R335" s="26">
        <f>INDEX(Progreso!$AZ$2:$BI$41,$P335,$Q335)</f>
        <v/>
      </c>
      <c r="S335" s="18">
        <f>IF(INDEX(Progreso!$AB$2:$AK$41,$P335,$Q335)=0,"",INDEX(Progreso!$AB$2:$AK$41,$P335,$Q335))</f>
        <v/>
      </c>
      <c r="T335" s="26">
        <f>IF($R335=0,"",COUNTIFS($R$2:$R$401,"&gt;0",$R$2:$R$401,"&lt;"&amp;$R335)+COUNTIFS($R$2:R335,"="&amp;$R335))</f>
        <v/>
      </c>
      <c r="V335" s="26">
        <f>IFERROR(MATCH(ROW()-ROW($V$12),$T$2:$T$401,0),"")</f>
        <v/>
      </c>
    </row>
    <row r="336" ht="22.5" customHeight="1">
      <c r="A336" s="85">
        <f>IF($V336="","",INDEX($R$2:$R$401,$V336))</f>
        <v/>
      </c>
      <c r="B336" s="4">
        <f>IF($V336="","",INDEX(DIAS_SEMANA,WEEKDAY(INDEX($R$2:$R$401,$V336),2)))</f>
        <v/>
      </c>
      <c r="C336" s="4">
        <f>IF($V336="","","Tema "&amp;INDEX($P$2:$P$401,$V336))</f>
        <v/>
      </c>
      <c r="D336" s="70">
        <f>IF($V336="","",INDEX($Q$2:$Q$401,$V336))</f>
        <v/>
      </c>
      <c r="E336" s="4">
        <f>IF($V336="","",IF(INDEX($S$2:$S$401,$V336)&lt;&gt;"",INDEX($S$2:$S$401,$V336),IF(INDEX($R$2:$R$401,$V336)&lt;$B$2,"Vencida",IF(INDEX($R$2:$R$401,$V336)=$B$2,"Hoy","Programada"))))</f>
        <v/>
      </c>
      <c r="P336" s="26" t="n">
        <v>34</v>
      </c>
      <c r="Q336" s="26" t="n">
        <v>5</v>
      </c>
      <c r="R336" s="26">
        <f>INDEX(Progreso!$AZ$2:$BI$41,$P336,$Q336)</f>
        <v/>
      </c>
      <c r="S336" s="18">
        <f>IF(INDEX(Progreso!$AB$2:$AK$41,$P336,$Q336)=0,"",INDEX(Progreso!$AB$2:$AK$41,$P336,$Q336))</f>
        <v/>
      </c>
      <c r="T336" s="26">
        <f>IF($R336=0,"",COUNTIFS($R$2:$R$401,"&gt;0",$R$2:$R$401,"&lt;"&amp;$R336)+COUNTIFS($R$2:R336,"="&amp;$R336))</f>
        <v/>
      </c>
      <c r="V336" s="26">
        <f>IFERROR(MATCH(ROW()-ROW($V$12),$T$2:$T$401,0),"")</f>
        <v/>
      </c>
    </row>
    <row r="337" ht="22.5" customHeight="1">
      <c r="A337" s="78">
        <f>IF($V337="","",INDEX($R$2:$R$401,$V337))</f>
        <v/>
      </c>
      <c r="B337" s="2">
        <f>IF($V337="","",INDEX(DIAS_SEMANA,WEEKDAY(INDEX($R$2:$R$401,$V337),2)))</f>
        <v/>
      </c>
      <c r="C337" s="2">
        <f>IF($V337="","","Tema "&amp;INDEX($P$2:$P$401,$V337))</f>
        <v/>
      </c>
      <c r="D337" s="69">
        <f>IF($V337="","",INDEX($Q$2:$Q$401,$V337))</f>
        <v/>
      </c>
      <c r="E337" s="2">
        <f>IF($V337="","",IF(INDEX($S$2:$S$401,$V337)&lt;&gt;"",INDEX($S$2:$S$401,$V337),IF(INDEX($R$2:$R$401,$V337)&lt;$B$2,"Vencida",IF(INDEX($R$2:$R$401,$V337)=$B$2,"Hoy","Programada"))))</f>
        <v/>
      </c>
      <c r="P337" s="26" t="n">
        <v>34</v>
      </c>
      <c r="Q337" s="26" t="n">
        <v>6</v>
      </c>
      <c r="R337" s="26">
        <f>INDEX(Progreso!$AZ$2:$BI$41,$P337,$Q337)</f>
        <v/>
      </c>
      <c r="S337" s="18">
        <f>IF(INDEX(Progreso!$AB$2:$AK$41,$P337,$Q337)=0,"",INDEX(Progreso!$AB$2:$AK$41,$P337,$Q337))</f>
        <v/>
      </c>
      <c r="T337" s="26">
        <f>IF($R337=0,"",COUNTIFS($R$2:$R$401,"&gt;0",$R$2:$R$401,"&lt;"&amp;$R337)+COUNTIFS($R$2:R337,"="&amp;$R337))</f>
        <v/>
      </c>
      <c r="V337" s="26">
        <f>IFERROR(MATCH(ROW()-ROW($V$12),$T$2:$T$401,0),"")</f>
        <v/>
      </c>
    </row>
    <row r="338" ht="22.5" customHeight="1">
      <c r="A338" s="85">
        <f>IF($V338="","",INDEX($R$2:$R$401,$V338))</f>
        <v/>
      </c>
      <c r="B338" s="4">
        <f>IF($V338="","",INDEX(DIAS_SEMANA,WEEKDAY(INDEX($R$2:$R$401,$V338),2)))</f>
        <v/>
      </c>
      <c r="C338" s="4">
        <f>IF($V338="","","Tema "&amp;INDEX($P$2:$P$401,$V338))</f>
        <v/>
      </c>
      <c r="D338" s="70">
        <f>IF($V338="","",INDEX($Q$2:$Q$401,$V338))</f>
        <v/>
      </c>
      <c r="E338" s="4">
        <f>IF($V338="","",IF(INDEX($S$2:$S$401,$V338)&lt;&gt;"",INDEX($S$2:$S$401,$V338),IF(INDEX($R$2:$R$401,$V338)&lt;$B$2,"Vencida",IF(INDEX($R$2:$R$401,$V338)=$B$2,"Hoy","Programada"))))</f>
        <v/>
      </c>
      <c r="P338" s="26" t="n">
        <v>34</v>
      </c>
      <c r="Q338" s="26" t="n">
        <v>7</v>
      </c>
      <c r="R338" s="26">
        <f>INDEX(Progreso!$AZ$2:$BI$41,$P338,$Q338)</f>
        <v/>
      </c>
      <c r="S338" s="18">
        <f>IF(INDEX(Progreso!$AB$2:$AK$41,$P338,$Q338)=0,"",INDEX(Progreso!$AB$2:$AK$41,$P338,$Q338))</f>
        <v/>
      </c>
      <c r="T338" s="26">
        <f>IF($R338=0,"",COUNTIFS($R$2:$R$401,"&gt;0",$R$2:$R$401,"&lt;"&amp;$R338)+COUNTIFS($R$2:R338,"="&amp;$R338))</f>
        <v/>
      </c>
      <c r="V338" s="26">
        <f>IFERROR(MATCH(ROW()-ROW($V$12),$T$2:$T$401,0),"")</f>
        <v/>
      </c>
    </row>
    <row r="339" ht="22.5" customHeight="1">
      <c r="A339" s="78">
        <f>IF($V339="","",INDEX($R$2:$R$401,$V339))</f>
        <v/>
      </c>
      <c r="B339" s="2">
        <f>IF($V339="","",INDEX(DIAS_SEMANA,WEEKDAY(INDEX($R$2:$R$401,$V339),2)))</f>
        <v/>
      </c>
      <c r="C339" s="2">
        <f>IF($V339="","","Tema "&amp;INDEX($P$2:$P$401,$V339))</f>
        <v/>
      </c>
      <c r="D339" s="69">
        <f>IF($V339="","",INDEX($Q$2:$Q$401,$V339))</f>
        <v/>
      </c>
      <c r="E339" s="2">
        <f>IF($V339="","",IF(INDEX($S$2:$S$401,$V339)&lt;&gt;"",INDEX($S$2:$S$401,$V339),IF(INDEX($R$2:$R$401,$V339)&lt;$B$2,"Vencida",IF(INDEX($R$2:$R$401,$V339)=$B$2,"Hoy","Programada"))))</f>
        <v/>
      </c>
      <c r="P339" s="26" t="n">
        <v>34</v>
      </c>
      <c r="Q339" s="26" t="n">
        <v>8</v>
      </c>
      <c r="R339" s="26">
        <f>INDEX(Progreso!$AZ$2:$BI$41,$P339,$Q339)</f>
        <v/>
      </c>
      <c r="S339" s="18">
        <f>IF(INDEX(Progreso!$AB$2:$AK$41,$P339,$Q339)=0,"",INDEX(Progreso!$AB$2:$AK$41,$P339,$Q339))</f>
        <v/>
      </c>
      <c r="T339" s="26">
        <f>IF($R339=0,"",COUNTIFS($R$2:$R$401,"&gt;0",$R$2:$R$401,"&lt;"&amp;$R339)+COUNTIFS($R$2:R339,"="&amp;$R339))</f>
        <v/>
      </c>
      <c r="V339" s="26">
        <f>IFERROR(MATCH(ROW()-ROW($V$12),$T$2:$T$401,0),"")</f>
        <v/>
      </c>
    </row>
    <row r="340" ht="22.5" customHeight="1">
      <c r="A340" s="85">
        <f>IF($V340="","",INDEX($R$2:$R$401,$V340))</f>
        <v/>
      </c>
      <c r="B340" s="4">
        <f>IF($V340="","",INDEX(DIAS_SEMANA,WEEKDAY(INDEX($R$2:$R$401,$V340),2)))</f>
        <v/>
      </c>
      <c r="C340" s="4">
        <f>IF($V340="","","Tema "&amp;INDEX($P$2:$P$401,$V340))</f>
        <v/>
      </c>
      <c r="D340" s="70">
        <f>IF($V340="","",INDEX($Q$2:$Q$401,$V340))</f>
        <v/>
      </c>
      <c r="E340" s="4">
        <f>IF($V340="","",IF(INDEX($S$2:$S$401,$V340)&lt;&gt;"",INDEX($S$2:$S$401,$V340),IF(INDEX($R$2:$R$401,$V340)&lt;$B$2,"Vencida",IF(INDEX($R$2:$R$401,$V340)=$B$2,"Hoy","Programada"))))</f>
        <v/>
      </c>
      <c r="P340" s="26" t="n">
        <v>34</v>
      </c>
      <c r="Q340" s="26" t="n">
        <v>9</v>
      </c>
      <c r="R340" s="26">
        <f>INDEX(Progreso!$AZ$2:$BI$41,$P340,$Q340)</f>
        <v/>
      </c>
      <c r="S340" s="18">
        <f>IF(INDEX(Progreso!$AB$2:$AK$41,$P340,$Q340)=0,"",INDEX(Progreso!$AB$2:$AK$41,$P340,$Q340))</f>
        <v/>
      </c>
      <c r="T340" s="26">
        <f>IF($R340=0,"",COUNTIFS($R$2:$R$401,"&gt;0",$R$2:$R$401,"&lt;"&amp;$R340)+COUNTIFS($R$2:R340,"="&amp;$R340))</f>
        <v/>
      </c>
      <c r="V340" s="26">
        <f>IFERROR(MATCH(ROW()-ROW($V$12),$T$2:$T$401,0),"")</f>
        <v/>
      </c>
    </row>
    <row r="341" ht="22.5" customHeight="1">
      <c r="A341" s="78">
        <f>IF($V341="","",INDEX($R$2:$R$401,$V341))</f>
        <v/>
      </c>
      <c r="B341" s="2">
        <f>IF($V341="","",INDEX(DIAS_SEMANA,WEEKDAY(INDEX($R$2:$R$401,$V341),2)))</f>
        <v/>
      </c>
      <c r="C341" s="2">
        <f>IF($V341="","","Tema "&amp;INDEX($P$2:$P$401,$V341))</f>
        <v/>
      </c>
      <c r="D341" s="69">
        <f>IF($V341="","",INDEX($Q$2:$Q$401,$V341))</f>
        <v/>
      </c>
      <c r="E341" s="2">
        <f>IF($V341="","",IF(INDEX($S$2:$S$401,$V341)&lt;&gt;"",INDEX($S$2:$S$401,$V341),IF(INDEX($R$2:$R$401,$V341)&lt;$B$2,"Vencida",IF(INDEX($R$2:$R$401,$V341)=$B$2,"Hoy","Programada"))))</f>
        <v/>
      </c>
      <c r="P341" s="26" t="n">
        <v>34</v>
      </c>
      <c r="Q341" s="26" t="n">
        <v>10</v>
      </c>
      <c r="R341" s="26">
        <f>INDEX(Progreso!$AZ$2:$BI$41,$P341,$Q341)</f>
        <v/>
      </c>
      <c r="S341" s="18">
        <f>IF(INDEX(Progreso!$AB$2:$AK$41,$P341,$Q341)=0,"",INDEX(Progreso!$AB$2:$AK$41,$P341,$Q341))</f>
        <v/>
      </c>
      <c r="T341" s="26">
        <f>IF($R341=0,"",COUNTIFS($R$2:$R$401,"&gt;0",$R$2:$R$401,"&lt;"&amp;$R341)+COUNTIFS($R$2:R341,"="&amp;$R341))</f>
        <v/>
      </c>
      <c r="V341" s="26">
        <f>IFERROR(MATCH(ROW()-ROW($V$12),$T$2:$T$401,0),"")</f>
        <v/>
      </c>
    </row>
    <row r="342" ht="22.5" customHeight="1">
      <c r="A342" s="85">
        <f>IF($V342="","",INDEX($R$2:$R$401,$V342))</f>
        <v/>
      </c>
      <c r="B342" s="4">
        <f>IF($V342="","",INDEX(DIAS_SEMANA,WEEKDAY(INDEX($R$2:$R$401,$V342),2)))</f>
        <v/>
      </c>
      <c r="C342" s="4">
        <f>IF($V342="","","Tema "&amp;INDEX($P$2:$P$401,$V342))</f>
        <v/>
      </c>
      <c r="D342" s="70">
        <f>IF($V342="","",INDEX($Q$2:$Q$401,$V342))</f>
        <v/>
      </c>
      <c r="E342" s="4">
        <f>IF($V342="","",IF(INDEX($S$2:$S$401,$V342)&lt;&gt;"",INDEX($S$2:$S$401,$V342),IF(INDEX($R$2:$R$401,$V342)&lt;$B$2,"Vencida",IF(INDEX($R$2:$R$401,$V342)=$B$2,"Hoy","Programada"))))</f>
        <v/>
      </c>
      <c r="P342" s="26" t="n">
        <v>35</v>
      </c>
      <c r="Q342" s="26" t="n">
        <v>1</v>
      </c>
      <c r="R342" s="26">
        <f>INDEX(Progreso!$AZ$2:$BI$41,$P342,$Q342)</f>
        <v/>
      </c>
      <c r="S342" s="18">
        <f>IF(INDEX(Progreso!$AB$2:$AK$41,$P342,$Q342)=0,"",INDEX(Progreso!$AB$2:$AK$41,$P342,$Q342))</f>
        <v/>
      </c>
      <c r="T342" s="26">
        <f>IF($R342=0,"",COUNTIFS($R$2:$R$401,"&gt;0",$R$2:$R$401,"&lt;"&amp;$R342)+COUNTIFS($R$2:R342,"="&amp;$R342))</f>
        <v/>
      </c>
      <c r="V342" s="26">
        <f>IFERROR(MATCH(ROW()-ROW($V$12),$T$2:$T$401,0),"")</f>
        <v/>
      </c>
    </row>
    <row r="343" ht="22.5" customHeight="1">
      <c r="A343" s="78">
        <f>IF($V343="","",INDEX($R$2:$R$401,$V343))</f>
        <v/>
      </c>
      <c r="B343" s="2">
        <f>IF($V343="","",INDEX(DIAS_SEMANA,WEEKDAY(INDEX($R$2:$R$401,$V343),2)))</f>
        <v/>
      </c>
      <c r="C343" s="2">
        <f>IF($V343="","","Tema "&amp;INDEX($P$2:$P$401,$V343))</f>
        <v/>
      </c>
      <c r="D343" s="69">
        <f>IF($V343="","",INDEX($Q$2:$Q$401,$V343))</f>
        <v/>
      </c>
      <c r="E343" s="2">
        <f>IF($V343="","",IF(INDEX($S$2:$S$401,$V343)&lt;&gt;"",INDEX($S$2:$S$401,$V343),IF(INDEX($R$2:$R$401,$V343)&lt;$B$2,"Vencida",IF(INDEX($R$2:$R$401,$V343)=$B$2,"Hoy","Programada"))))</f>
        <v/>
      </c>
      <c r="P343" s="26" t="n">
        <v>35</v>
      </c>
      <c r="Q343" s="26" t="n">
        <v>2</v>
      </c>
      <c r="R343" s="26">
        <f>INDEX(Progreso!$AZ$2:$BI$41,$P343,$Q343)</f>
        <v/>
      </c>
      <c r="S343" s="18">
        <f>IF(INDEX(Progreso!$AB$2:$AK$41,$P343,$Q343)=0,"",INDEX(Progreso!$AB$2:$AK$41,$P343,$Q343))</f>
        <v/>
      </c>
      <c r="T343" s="26">
        <f>IF($R343=0,"",COUNTIFS($R$2:$R$401,"&gt;0",$R$2:$R$401,"&lt;"&amp;$R343)+COUNTIFS($R$2:R343,"="&amp;$R343))</f>
        <v/>
      </c>
      <c r="V343" s="26">
        <f>IFERROR(MATCH(ROW()-ROW($V$12),$T$2:$T$401,0),"")</f>
        <v/>
      </c>
    </row>
    <row r="344" ht="22.5" customHeight="1">
      <c r="A344" s="85">
        <f>IF($V344="","",INDEX($R$2:$R$401,$V344))</f>
        <v/>
      </c>
      <c r="B344" s="4">
        <f>IF($V344="","",INDEX(DIAS_SEMANA,WEEKDAY(INDEX($R$2:$R$401,$V344),2)))</f>
        <v/>
      </c>
      <c r="C344" s="4">
        <f>IF($V344="","","Tema "&amp;INDEX($P$2:$P$401,$V344))</f>
        <v/>
      </c>
      <c r="D344" s="70">
        <f>IF($V344="","",INDEX($Q$2:$Q$401,$V344))</f>
        <v/>
      </c>
      <c r="E344" s="4">
        <f>IF($V344="","",IF(INDEX($S$2:$S$401,$V344)&lt;&gt;"",INDEX($S$2:$S$401,$V344),IF(INDEX($R$2:$R$401,$V344)&lt;$B$2,"Vencida",IF(INDEX($R$2:$R$401,$V344)=$B$2,"Hoy","Programada"))))</f>
        <v/>
      </c>
      <c r="P344" s="26" t="n">
        <v>35</v>
      </c>
      <c r="Q344" s="26" t="n">
        <v>3</v>
      </c>
      <c r="R344" s="26">
        <f>INDEX(Progreso!$AZ$2:$BI$41,$P344,$Q344)</f>
        <v/>
      </c>
      <c r="S344" s="18">
        <f>IF(INDEX(Progreso!$AB$2:$AK$41,$P344,$Q344)=0,"",INDEX(Progreso!$AB$2:$AK$41,$P344,$Q344))</f>
        <v/>
      </c>
      <c r="T344" s="26">
        <f>IF($R344=0,"",COUNTIFS($R$2:$R$401,"&gt;0",$R$2:$R$401,"&lt;"&amp;$R344)+COUNTIFS($R$2:R344,"="&amp;$R344))</f>
        <v/>
      </c>
      <c r="V344" s="26">
        <f>IFERROR(MATCH(ROW()-ROW($V$12),$T$2:$T$401,0),"")</f>
        <v/>
      </c>
    </row>
    <row r="345" ht="22.5" customHeight="1">
      <c r="A345" s="78">
        <f>IF($V345="","",INDEX($R$2:$R$401,$V345))</f>
        <v/>
      </c>
      <c r="B345" s="2">
        <f>IF($V345="","",INDEX(DIAS_SEMANA,WEEKDAY(INDEX($R$2:$R$401,$V345),2)))</f>
        <v/>
      </c>
      <c r="C345" s="2">
        <f>IF($V345="","","Tema "&amp;INDEX($P$2:$P$401,$V345))</f>
        <v/>
      </c>
      <c r="D345" s="69">
        <f>IF($V345="","",INDEX($Q$2:$Q$401,$V345))</f>
        <v/>
      </c>
      <c r="E345" s="2">
        <f>IF($V345="","",IF(INDEX($S$2:$S$401,$V345)&lt;&gt;"",INDEX($S$2:$S$401,$V345),IF(INDEX($R$2:$R$401,$V345)&lt;$B$2,"Vencida",IF(INDEX($R$2:$R$401,$V345)=$B$2,"Hoy","Programada"))))</f>
        <v/>
      </c>
      <c r="P345" s="26" t="n">
        <v>35</v>
      </c>
      <c r="Q345" s="26" t="n">
        <v>4</v>
      </c>
      <c r="R345" s="26">
        <f>INDEX(Progreso!$AZ$2:$BI$41,$P345,$Q345)</f>
        <v/>
      </c>
      <c r="S345" s="18">
        <f>IF(INDEX(Progreso!$AB$2:$AK$41,$P345,$Q345)=0,"",INDEX(Progreso!$AB$2:$AK$41,$P345,$Q345))</f>
        <v/>
      </c>
      <c r="T345" s="26">
        <f>IF($R345=0,"",COUNTIFS($R$2:$R$401,"&gt;0",$R$2:$R$401,"&lt;"&amp;$R345)+COUNTIFS($R$2:R345,"="&amp;$R345))</f>
        <v/>
      </c>
      <c r="V345" s="26">
        <f>IFERROR(MATCH(ROW()-ROW($V$12),$T$2:$T$401,0),"")</f>
        <v/>
      </c>
    </row>
    <row r="346" ht="22.5" customHeight="1">
      <c r="A346" s="85">
        <f>IF($V346="","",INDEX($R$2:$R$401,$V346))</f>
        <v/>
      </c>
      <c r="B346" s="4">
        <f>IF($V346="","",INDEX(DIAS_SEMANA,WEEKDAY(INDEX($R$2:$R$401,$V346),2)))</f>
        <v/>
      </c>
      <c r="C346" s="4">
        <f>IF($V346="","","Tema "&amp;INDEX($P$2:$P$401,$V346))</f>
        <v/>
      </c>
      <c r="D346" s="70">
        <f>IF($V346="","",INDEX($Q$2:$Q$401,$V346))</f>
        <v/>
      </c>
      <c r="E346" s="4">
        <f>IF($V346="","",IF(INDEX($S$2:$S$401,$V346)&lt;&gt;"",INDEX($S$2:$S$401,$V346),IF(INDEX($R$2:$R$401,$V346)&lt;$B$2,"Vencida",IF(INDEX($R$2:$R$401,$V346)=$B$2,"Hoy","Programada"))))</f>
        <v/>
      </c>
      <c r="P346" s="26" t="n">
        <v>35</v>
      </c>
      <c r="Q346" s="26" t="n">
        <v>5</v>
      </c>
      <c r="R346" s="26">
        <f>INDEX(Progreso!$AZ$2:$BI$41,$P346,$Q346)</f>
        <v/>
      </c>
      <c r="S346" s="18">
        <f>IF(INDEX(Progreso!$AB$2:$AK$41,$P346,$Q346)=0,"",INDEX(Progreso!$AB$2:$AK$41,$P346,$Q346))</f>
        <v/>
      </c>
      <c r="T346" s="26">
        <f>IF($R346=0,"",COUNTIFS($R$2:$R$401,"&gt;0",$R$2:$R$401,"&lt;"&amp;$R346)+COUNTIFS($R$2:R346,"="&amp;$R346))</f>
        <v/>
      </c>
      <c r="V346" s="26">
        <f>IFERROR(MATCH(ROW()-ROW($V$12),$T$2:$T$401,0),"")</f>
        <v/>
      </c>
    </row>
    <row r="347" ht="22.5" customHeight="1">
      <c r="A347" s="78">
        <f>IF($V347="","",INDEX($R$2:$R$401,$V347))</f>
        <v/>
      </c>
      <c r="B347" s="2">
        <f>IF($V347="","",INDEX(DIAS_SEMANA,WEEKDAY(INDEX($R$2:$R$401,$V347),2)))</f>
        <v/>
      </c>
      <c r="C347" s="2">
        <f>IF($V347="","","Tema "&amp;INDEX($P$2:$P$401,$V347))</f>
        <v/>
      </c>
      <c r="D347" s="69">
        <f>IF($V347="","",INDEX($Q$2:$Q$401,$V347))</f>
        <v/>
      </c>
      <c r="E347" s="2">
        <f>IF($V347="","",IF(INDEX($S$2:$S$401,$V347)&lt;&gt;"",INDEX($S$2:$S$401,$V347),IF(INDEX($R$2:$R$401,$V347)&lt;$B$2,"Vencida",IF(INDEX($R$2:$R$401,$V347)=$B$2,"Hoy","Programada"))))</f>
        <v/>
      </c>
      <c r="P347" s="26" t="n">
        <v>35</v>
      </c>
      <c r="Q347" s="26" t="n">
        <v>6</v>
      </c>
      <c r="R347" s="26">
        <f>INDEX(Progreso!$AZ$2:$BI$41,$P347,$Q347)</f>
        <v/>
      </c>
      <c r="S347" s="18">
        <f>IF(INDEX(Progreso!$AB$2:$AK$41,$P347,$Q347)=0,"",INDEX(Progreso!$AB$2:$AK$41,$P347,$Q347))</f>
        <v/>
      </c>
      <c r="T347" s="26">
        <f>IF($R347=0,"",COUNTIFS($R$2:$R$401,"&gt;0",$R$2:$R$401,"&lt;"&amp;$R347)+COUNTIFS($R$2:R347,"="&amp;$R347))</f>
        <v/>
      </c>
      <c r="V347" s="26">
        <f>IFERROR(MATCH(ROW()-ROW($V$12),$T$2:$T$401,0),"")</f>
        <v/>
      </c>
    </row>
    <row r="348" ht="22.5" customHeight="1">
      <c r="A348" s="85">
        <f>IF($V348="","",INDEX($R$2:$R$401,$V348))</f>
        <v/>
      </c>
      <c r="B348" s="4">
        <f>IF($V348="","",INDEX(DIAS_SEMANA,WEEKDAY(INDEX($R$2:$R$401,$V348),2)))</f>
        <v/>
      </c>
      <c r="C348" s="4">
        <f>IF($V348="","","Tema "&amp;INDEX($P$2:$P$401,$V348))</f>
        <v/>
      </c>
      <c r="D348" s="70">
        <f>IF($V348="","",INDEX($Q$2:$Q$401,$V348))</f>
        <v/>
      </c>
      <c r="E348" s="4">
        <f>IF($V348="","",IF(INDEX($S$2:$S$401,$V348)&lt;&gt;"",INDEX($S$2:$S$401,$V348),IF(INDEX($R$2:$R$401,$V348)&lt;$B$2,"Vencida",IF(INDEX($R$2:$R$401,$V348)=$B$2,"Hoy","Programada"))))</f>
        <v/>
      </c>
      <c r="P348" s="26" t="n">
        <v>35</v>
      </c>
      <c r="Q348" s="26" t="n">
        <v>7</v>
      </c>
      <c r="R348" s="26">
        <f>INDEX(Progreso!$AZ$2:$BI$41,$P348,$Q348)</f>
        <v/>
      </c>
      <c r="S348" s="18">
        <f>IF(INDEX(Progreso!$AB$2:$AK$41,$P348,$Q348)=0,"",INDEX(Progreso!$AB$2:$AK$41,$P348,$Q348))</f>
        <v/>
      </c>
      <c r="T348" s="26">
        <f>IF($R348=0,"",COUNTIFS($R$2:$R$401,"&gt;0",$R$2:$R$401,"&lt;"&amp;$R348)+COUNTIFS($R$2:R348,"="&amp;$R348))</f>
        <v/>
      </c>
      <c r="V348" s="26">
        <f>IFERROR(MATCH(ROW()-ROW($V$12),$T$2:$T$401,0),"")</f>
        <v/>
      </c>
    </row>
    <row r="349" ht="22.5" customHeight="1">
      <c r="A349" s="78">
        <f>IF($V349="","",INDEX($R$2:$R$401,$V349))</f>
        <v/>
      </c>
      <c r="B349" s="2">
        <f>IF($V349="","",INDEX(DIAS_SEMANA,WEEKDAY(INDEX($R$2:$R$401,$V349),2)))</f>
        <v/>
      </c>
      <c r="C349" s="2">
        <f>IF($V349="","","Tema "&amp;INDEX($P$2:$P$401,$V349))</f>
        <v/>
      </c>
      <c r="D349" s="69">
        <f>IF($V349="","",INDEX($Q$2:$Q$401,$V349))</f>
        <v/>
      </c>
      <c r="E349" s="2">
        <f>IF($V349="","",IF(INDEX($S$2:$S$401,$V349)&lt;&gt;"",INDEX($S$2:$S$401,$V349),IF(INDEX($R$2:$R$401,$V349)&lt;$B$2,"Vencida",IF(INDEX($R$2:$R$401,$V349)=$B$2,"Hoy","Programada"))))</f>
        <v/>
      </c>
      <c r="P349" s="26" t="n">
        <v>35</v>
      </c>
      <c r="Q349" s="26" t="n">
        <v>8</v>
      </c>
      <c r="R349" s="26">
        <f>INDEX(Progreso!$AZ$2:$BI$41,$P349,$Q349)</f>
        <v/>
      </c>
      <c r="S349" s="18">
        <f>IF(INDEX(Progreso!$AB$2:$AK$41,$P349,$Q349)=0,"",INDEX(Progreso!$AB$2:$AK$41,$P349,$Q349))</f>
        <v/>
      </c>
      <c r="T349" s="26">
        <f>IF($R349=0,"",COUNTIFS($R$2:$R$401,"&gt;0",$R$2:$R$401,"&lt;"&amp;$R349)+COUNTIFS($R$2:R349,"="&amp;$R349))</f>
        <v/>
      </c>
      <c r="V349" s="26">
        <f>IFERROR(MATCH(ROW()-ROW($V$12),$T$2:$T$401,0),"")</f>
        <v/>
      </c>
    </row>
    <row r="350" ht="22.5" customHeight="1">
      <c r="A350" s="85">
        <f>IF($V350="","",INDEX($R$2:$R$401,$V350))</f>
        <v/>
      </c>
      <c r="B350" s="4">
        <f>IF($V350="","",INDEX(DIAS_SEMANA,WEEKDAY(INDEX($R$2:$R$401,$V350),2)))</f>
        <v/>
      </c>
      <c r="C350" s="4">
        <f>IF($V350="","","Tema "&amp;INDEX($P$2:$P$401,$V350))</f>
        <v/>
      </c>
      <c r="D350" s="70">
        <f>IF($V350="","",INDEX($Q$2:$Q$401,$V350))</f>
        <v/>
      </c>
      <c r="E350" s="4">
        <f>IF($V350="","",IF(INDEX($S$2:$S$401,$V350)&lt;&gt;"",INDEX($S$2:$S$401,$V350),IF(INDEX($R$2:$R$401,$V350)&lt;$B$2,"Vencida",IF(INDEX($R$2:$R$401,$V350)=$B$2,"Hoy","Programada"))))</f>
        <v/>
      </c>
      <c r="P350" s="26" t="n">
        <v>35</v>
      </c>
      <c r="Q350" s="26" t="n">
        <v>9</v>
      </c>
      <c r="R350" s="26">
        <f>INDEX(Progreso!$AZ$2:$BI$41,$P350,$Q350)</f>
        <v/>
      </c>
      <c r="S350" s="18">
        <f>IF(INDEX(Progreso!$AB$2:$AK$41,$P350,$Q350)=0,"",INDEX(Progreso!$AB$2:$AK$41,$P350,$Q350))</f>
        <v/>
      </c>
      <c r="T350" s="26">
        <f>IF($R350=0,"",COUNTIFS($R$2:$R$401,"&gt;0",$R$2:$R$401,"&lt;"&amp;$R350)+COUNTIFS($R$2:R350,"="&amp;$R350))</f>
        <v/>
      </c>
      <c r="V350" s="26">
        <f>IFERROR(MATCH(ROW()-ROW($V$12),$T$2:$T$401,0),"")</f>
        <v/>
      </c>
    </row>
    <row r="351" ht="22.5" customHeight="1">
      <c r="A351" s="78">
        <f>IF($V351="","",INDEX($R$2:$R$401,$V351))</f>
        <v/>
      </c>
      <c r="B351" s="2">
        <f>IF($V351="","",INDEX(DIAS_SEMANA,WEEKDAY(INDEX($R$2:$R$401,$V351),2)))</f>
        <v/>
      </c>
      <c r="C351" s="2">
        <f>IF($V351="","","Tema "&amp;INDEX($P$2:$P$401,$V351))</f>
        <v/>
      </c>
      <c r="D351" s="69">
        <f>IF($V351="","",INDEX($Q$2:$Q$401,$V351))</f>
        <v/>
      </c>
      <c r="E351" s="2">
        <f>IF($V351="","",IF(INDEX($S$2:$S$401,$V351)&lt;&gt;"",INDEX($S$2:$S$401,$V351),IF(INDEX($R$2:$R$401,$V351)&lt;$B$2,"Vencida",IF(INDEX($R$2:$R$401,$V351)=$B$2,"Hoy","Programada"))))</f>
        <v/>
      </c>
      <c r="P351" s="26" t="n">
        <v>35</v>
      </c>
      <c r="Q351" s="26" t="n">
        <v>10</v>
      </c>
      <c r="R351" s="26">
        <f>INDEX(Progreso!$AZ$2:$BI$41,$P351,$Q351)</f>
        <v/>
      </c>
      <c r="S351" s="18">
        <f>IF(INDEX(Progreso!$AB$2:$AK$41,$P351,$Q351)=0,"",INDEX(Progreso!$AB$2:$AK$41,$P351,$Q351))</f>
        <v/>
      </c>
      <c r="T351" s="26">
        <f>IF($R351=0,"",COUNTIFS($R$2:$R$401,"&gt;0",$R$2:$R$401,"&lt;"&amp;$R351)+COUNTIFS($R$2:R351,"="&amp;$R351))</f>
        <v/>
      </c>
      <c r="V351" s="26">
        <f>IFERROR(MATCH(ROW()-ROW($V$12),$T$2:$T$401,0),"")</f>
        <v/>
      </c>
    </row>
    <row r="352" ht="22.5" customHeight="1">
      <c r="A352" s="85">
        <f>IF($V352="","",INDEX($R$2:$R$401,$V352))</f>
        <v/>
      </c>
      <c r="B352" s="4">
        <f>IF($V352="","",INDEX(DIAS_SEMANA,WEEKDAY(INDEX($R$2:$R$401,$V352),2)))</f>
        <v/>
      </c>
      <c r="C352" s="4">
        <f>IF($V352="","","Tema "&amp;INDEX($P$2:$P$401,$V352))</f>
        <v/>
      </c>
      <c r="D352" s="70">
        <f>IF($V352="","",INDEX($Q$2:$Q$401,$V352))</f>
        <v/>
      </c>
      <c r="E352" s="4">
        <f>IF($V352="","",IF(INDEX($S$2:$S$401,$V352)&lt;&gt;"",INDEX($S$2:$S$401,$V352),IF(INDEX($R$2:$R$401,$V352)&lt;$B$2,"Vencida",IF(INDEX($R$2:$R$401,$V352)=$B$2,"Hoy","Programada"))))</f>
        <v/>
      </c>
      <c r="P352" s="26" t="n">
        <v>36</v>
      </c>
      <c r="Q352" s="26" t="n">
        <v>1</v>
      </c>
      <c r="R352" s="26">
        <f>INDEX(Progreso!$AZ$2:$BI$41,$P352,$Q352)</f>
        <v/>
      </c>
      <c r="S352" s="18">
        <f>IF(INDEX(Progreso!$AB$2:$AK$41,$P352,$Q352)=0,"",INDEX(Progreso!$AB$2:$AK$41,$P352,$Q352))</f>
        <v/>
      </c>
      <c r="T352" s="26">
        <f>IF($R352=0,"",COUNTIFS($R$2:$R$401,"&gt;0",$R$2:$R$401,"&lt;"&amp;$R352)+COUNTIFS($R$2:R352,"="&amp;$R352))</f>
        <v/>
      </c>
      <c r="V352" s="26">
        <f>IFERROR(MATCH(ROW()-ROW($V$12),$T$2:$T$401,0),"")</f>
        <v/>
      </c>
    </row>
    <row r="353" ht="22.5" customHeight="1">
      <c r="A353" s="78">
        <f>IF($V353="","",INDEX($R$2:$R$401,$V353))</f>
        <v/>
      </c>
      <c r="B353" s="2">
        <f>IF($V353="","",INDEX(DIAS_SEMANA,WEEKDAY(INDEX($R$2:$R$401,$V353),2)))</f>
        <v/>
      </c>
      <c r="C353" s="2">
        <f>IF($V353="","","Tema "&amp;INDEX($P$2:$P$401,$V353))</f>
        <v/>
      </c>
      <c r="D353" s="69">
        <f>IF($V353="","",INDEX($Q$2:$Q$401,$V353))</f>
        <v/>
      </c>
      <c r="E353" s="2">
        <f>IF($V353="","",IF(INDEX($S$2:$S$401,$V353)&lt;&gt;"",INDEX($S$2:$S$401,$V353),IF(INDEX($R$2:$R$401,$V353)&lt;$B$2,"Vencida",IF(INDEX($R$2:$R$401,$V353)=$B$2,"Hoy","Programada"))))</f>
        <v/>
      </c>
      <c r="P353" s="26" t="n">
        <v>36</v>
      </c>
      <c r="Q353" s="26" t="n">
        <v>2</v>
      </c>
      <c r="R353" s="26">
        <f>INDEX(Progreso!$AZ$2:$BI$41,$P353,$Q353)</f>
        <v/>
      </c>
      <c r="S353" s="18">
        <f>IF(INDEX(Progreso!$AB$2:$AK$41,$P353,$Q353)=0,"",INDEX(Progreso!$AB$2:$AK$41,$P353,$Q353))</f>
        <v/>
      </c>
      <c r="T353" s="26">
        <f>IF($R353=0,"",COUNTIFS($R$2:$R$401,"&gt;0",$R$2:$R$401,"&lt;"&amp;$R353)+COUNTIFS($R$2:R353,"="&amp;$R353))</f>
        <v/>
      </c>
      <c r="V353" s="26">
        <f>IFERROR(MATCH(ROW()-ROW($V$12),$T$2:$T$401,0),"")</f>
        <v/>
      </c>
    </row>
    <row r="354" ht="22.5" customHeight="1">
      <c r="A354" s="85">
        <f>IF($V354="","",INDEX($R$2:$R$401,$V354))</f>
        <v/>
      </c>
      <c r="B354" s="4">
        <f>IF($V354="","",INDEX(DIAS_SEMANA,WEEKDAY(INDEX($R$2:$R$401,$V354),2)))</f>
        <v/>
      </c>
      <c r="C354" s="4">
        <f>IF($V354="","","Tema "&amp;INDEX($P$2:$P$401,$V354))</f>
        <v/>
      </c>
      <c r="D354" s="70">
        <f>IF($V354="","",INDEX($Q$2:$Q$401,$V354))</f>
        <v/>
      </c>
      <c r="E354" s="4">
        <f>IF($V354="","",IF(INDEX($S$2:$S$401,$V354)&lt;&gt;"",INDEX($S$2:$S$401,$V354),IF(INDEX($R$2:$R$401,$V354)&lt;$B$2,"Vencida",IF(INDEX($R$2:$R$401,$V354)=$B$2,"Hoy","Programada"))))</f>
        <v/>
      </c>
      <c r="P354" s="26" t="n">
        <v>36</v>
      </c>
      <c r="Q354" s="26" t="n">
        <v>3</v>
      </c>
      <c r="R354" s="26">
        <f>INDEX(Progreso!$AZ$2:$BI$41,$P354,$Q354)</f>
        <v/>
      </c>
      <c r="S354" s="18">
        <f>IF(INDEX(Progreso!$AB$2:$AK$41,$P354,$Q354)=0,"",INDEX(Progreso!$AB$2:$AK$41,$P354,$Q354))</f>
        <v/>
      </c>
      <c r="T354" s="26">
        <f>IF($R354=0,"",COUNTIFS($R$2:$R$401,"&gt;0",$R$2:$R$401,"&lt;"&amp;$R354)+COUNTIFS($R$2:R354,"="&amp;$R354))</f>
        <v/>
      </c>
      <c r="V354" s="26">
        <f>IFERROR(MATCH(ROW()-ROW($V$12),$T$2:$T$401,0),"")</f>
        <v/>
      </c>
    </row>
    <row r="355" ht="22.5" customHeight="1">
      <c r="A355" s="78">
        <f>IF($V355="","",INDEX($R$2:$R$401,$V355))</f>
        <v/>
      </c>
      <c r="B355" s="2">
        <f>IF($V355="","",INDEX(DIAS_SEMANA,WEEKDAY(INDEX($R$2:$R$401,$V355),2)))</f>
        <v/>
      </c>
      <c r="C355" s="2">
        <f>IF($V355="","","Tema "&amp;INDEX($P$2:$P$401,$V355))</f>
        <v/>
      </c>
      <c r="D355" s="69">
        <f>IF($V355="","",INDEX($Q$2:$Q$401,$V355))</f>
        <v/>
      </c>
      <c r="E355" s="2">
        <f>IF($V355="","",IF(INDEX($S$2:$S$401,$V355)&lt;&gt;"",INDEX($S$2:$S$401,$V355),IF(INDEX($R$2:$R$401,$V355)&lt;$B$2,"Vencida",IF(INDEX($R$2:$R$401,$V355)=$B$2,"Hoy","Programada"))))</f>
        <v/>
      </c>
      <c r="P355" s="26" t="n">
        <v>36</v>
      </c>
      <c r="Q355" s="26" t="n">
        <v>4</v>
      </c>
      <c r="R355" s="26">
        <f>INDEX(Progreso!$AZ$2:$BI$41,$P355,$Q355)</f>
        <v/>
      </c>
      <c r="S355" s="18">
        <f>IF(INDEX(Progreso!$AB$2:$AK$41,$P355,$Q355)=0,"",INDEX(Progreso!$AB$2:$AK$41,$P355,$Q355))</f>
        <v/>
      </c>
      <c r="T355" s="26">
        <f>IF($R355=0,"",COUNTIFS($R$2:$R$401,"&gt;0",$R$2:$R$401,"&lt;"&amp;$R355)+COUNTIFS($R$2:R355,"="&amp;$R355))</f>
        <v/>
      </c>
      <c r="V355" s="26">
        <f>IFERROR(MATCH(ROW()-ROW($V$12),$T$2:$T$401,0),"")</f>
        <v/>
      </c>
    </row>
    <row r="356" ht="22.5" customHeight="1">
      <c r="A356" s="85">
        <f>IF($V356="","",INDEX($R$2:$R$401,$V356))</f>
        <v/>
      </c>
      <c r="B356" s="4">
        <f>IF($V356="","",INDEX(DIAS_SEMANA,WEEKDAY(INDEX($R$2:$R$401,$V356),2)))</f>
        <v/>
      </c>
      <c r="C356" s="4">
        <f>IF($V356="","","Tema "&amp;INDEX($P$2:$P$401,$V356))</f>
        <v/>
      </c>
      <c r="D356" s="70">
        <f>IF($V356="","",INDEX($Q$2:$Q$401,$V356))</f>
        <v/>
      </c>
      <c r="E356" s="4">
        <f>IF($V356="","",IF(INDEX($S$2:$S$401,$V356)&lt;&gt;"",INDEX($S$2:$S$401,$V356),IF(INDEX($R$2:$R$401,$V356)&lt;$B$2,"Vencida",IF(INDEX($R$2:$R$401,$V356)=$B$2,"Hoy","Programada"))))</f>
        <v/>
      </c>
      <c r="P356" s="26" t="n">
        <v>36</v>
      </c>
      <c r="Q356" s="26" t="n">
        <v>5</v>
      </c>
      <c r="R356" s="26">
        <f>INDEX(Progreso!$AZ$2:$BI$41,$P356,$Q356)</f>
        <v/>
      </c>
      <c r="S356" s="18">
        <f>IF(INDEX(Progreso!$AB$2:$AK$41,$P356,$Q356)=0,"",INDEX(Progreso!$AB$2:$AK$41,$P356,$Q356))</f>
        <v/>
      </c>
      <c r="T356" s="26">
        <f>IF($R356=0,"",COUNTIFS($R$2:$R$401,"&gt;0",$R$2:$R$401,"&lt;"&amp;$R356)+COUNTIFS($R$2:R356,"="&amp;$R356))</f>
        <v/>
      </c>
      <c r="V356" s="26">
        <f>IFERROR(MATCH(ROW()-ROW($V$12),$T$2:$T$401,0),"")</f>
        <v/>
      </c>
    </row>
    <row r="357" ht="22.5" customHeight="1">
      <c r="A357" s="78">
        <f>IF($V357="","",INDEX($R$2:$R$401,$V357))</f>
        <v/>
      </c>
      <c r="B357" s="2">
        <f>IF($V357="","",INDEX(DIAS_SEMANA,WEEKDAY(INDEX($R$2:$R$401,$V357),2)))</f>
        <v/>
      </c>
      <c r="C357" s="2">
        <f>IF($V357="","","Tema "&amp;INDEX($P$2:$P$401,$V357))</f>
        <v/>
      </c>
      <c r="D357" s="69">
        <f>IF($V357="","",INDEX($Q$2:$Q$401,$V357))</f>
        <v/>
      </c>
      <c r="E357" s="2">
        <f>IF($V357="","",IF(INDEX($S$2:$S$401,$V357)&lt;&gt;"",INDEX($S$2:$S$401,$V357),IF(INDEX($R$2:$R$401,$V357)&lt;$B$2,"Vencida",IF(INDEX($R$2:$R$401,$V357)=$B$2,"Hoy","Programada"))))</f>
        <v/>
      </c>
      <c r="P357" s="26" t="n">
        <v>36</v>
      </c>
      <c r="Q357" s="26" t="n">
        <v>6</v>
      </c>
      <c r="R357" s="26">
        <f>INDEX(Progreso!$AZ$2:$BI$41,$P357,$Q357)</f>
        <v/>
      </c>
      <c r="S357" s="18">
        <f>IF(INDEX(Progreso!$AB$2:$AK$41,$P357,$Q357)=0,"",INDEX(Progreso!$AB$2:$AK$41,$P357,$Q357))</f>
        <v/>
      </c>
      <c r="T357" s="26">
        <f>IF($R357=0,"",COUNTIFS($R$2:$R$401,"&gt;0",$R$2:$R$401,"&lt;"&amp;$R357)+COUNTIFS($R$2:R357,"="&amp;$R357))</f>
        <v/>
      </c>
      <c r="V357" s="26">
        <f>IFERROR(MATCH(ROW()-ROW($V$12),$T$2:$T$401,0),"")</f>
        <v/>
      </c>
    </row>
    <row r="358" ht="22.5" customHeight="1">
      <c r="A358" s="85">
        <f>IF($V358="","",INDEX($R$2:$R$401,$V358))</f>
        <v/>
      </c>
      <c r="B358" s="4">
        <f>IF($V358="","",INDEX(DIAS_SEMANA,WEEKDAY(INDEX($R$2:$R$401,$V358),2)))</f>
        <v/>
      </c>
      <c r="C358" s="4">
        <f>IF($V358="","","Tema "&amp;INDEX($P$2:$P$401,$V358))</f>
        <v/>
      </c>
      <c r="D358" s="70">
        <f>IF($V358="","",INDEX($Q$2:$Q$401,$V358))</f>
        <v/>
      </c>
      <c r="E358" s="4">
        <f>IF($V358="","",IF(INDEX($S$2:$S$401,$V358)&lt;&gt;"",INDEX($S$2:$S$401,$V358),IF(INDEX($R$2:$R$401,$V358)&lt;$B$2,"Vencida",IF(INDEX($R$2:$R$401,$V358)=$B$2,"Hoy","Programada"))))</f>
        <v/>
      </c>
      <c r="P358" s="26" t="n">
        <v>36</v>
      </c>
      <c r="Q358" s="26" t="n">
        <v>7</v>
      </c>
      <c r="R358" s="26">
        <f>INDEX(Progreso!$AZ$2:$BI$41,$P358,$Q358)</f>
        <v/>
      </c>
      <c r="S358" s="18">
        <f>IF(INDEX(Progreso!$AB$2:$AK$41,$P358,$Q358)=0,"",INDEX(Progreso!$AB$2:$AK$41,$P358,$Q358))</f>
        <v/>
      </c>
      <c r="T358" s="26">
        <f>IF($R358=0,"",COUNTIFS($R$2:$R$401,"&gt;0",$R$2:$R$401,"&lt;"&amp;$R358)+COUNTIFS($R$2:R358,"="&amp;$R358))</f>
        <v/>
      </c>
      <c r="V358" s="26">
        <f>IFERROR(MATCH(ROW()-ROW($V$12),$T$2:$T$401,0),"")</f>
        <v/>
      </c>
    </row>
    <row r="359" ht="22.5" customHeight="1">
      <c r="A359" s="78">
        <f>IF($V359="","",INDEX($R$2:$R$401,$V359))</f>
        <v/>
      </c>
      <c r="B359" s="2">
        <f>IF($V359="","",INDEX(DIAS_SEMANA,WEEKDAY(INDEX($R$2:$R$401,$V359),2)))</f>
        <v/>
      </c>
      <c r="C359" s="2">
        <f>IF($V359="","","Tema "&amp;INDEX($P$2:$P$401,$V359))</f>
        <v/>
      </c>
      <c r="D359" s="69">
        <f>IF($V359="","",INDEX($Q$2:$Q$401,$V359))</f>
        <v/>
      </c>
      <c r="E359" s="2">
        <f>IF($V359="","",IF(INDEX($S$2:$S$401,$V359)&lt;&gt;"",INDEX($S$2:$S$401,$V359),IF(INDEX($R$2:$R$401,$V359)&lt;$B$2,"Vencida",IF(INDEX($R$2:$R$401,$V359)=$B$2,"Hoy","Programada"))))</f>
        <v/>
      </c>
      <c r="P359" s="26" t="n">
        <v>36</v>
      </c>
      <c r="Q359" s="26" t="n">
        <v>8</v>
      </c>
      <c r="R359" s="26">
        <f>INDEX(Progreso!$AZ$2:$BI$41,$P359,$Q359)</f>
        <v/>
      </c>
      <c r="S359" s="18">
        <f>IF(INDEX(Progreso!$AB$2:$AK$41,$P359,$Q359)=0,"",INDEX(Progreso!$AB$2:$AK$41,$P359,$Q359))</f>
        <v/>
      </c>
      <c r="T359" s="26">
        <f>IF($R359=0,"",COUNTIFS($R$2:$R$401,"&gt;0",$R$2:$R$401,"&lt;"&amp;$R359)+COUNTIFS($R$2:R359,"="&amp;$R359))</f>
        <v/>
      </c>
      <c r="V359" s="26">
        <f>IFERROR(MATCH(ROW()-ROW($V$12),$T$2:$T$401,0),"")</f>
        <v/>
      </c>
    </row>
    <row r="360" ht="22.5" customHeight="1">
      <c r="A360" s="85">
        <f>IF($V360="","",INDEX($R$2:$R$401,$V360))</f>
        <v/>
      </c>
      <c r="B360" s="4">
        <f>IF($V360="","",INDEX(DIAS_SEMANA,WEEKDAY(INDEX($R$2:$R$401,$V360),2)))</f>
        <v/>
      </c>
      <c r="C360" s="4">
        <f>IF($V360="","","Tema "&amp;INDEX($P$2:$P$401,$V360))</f>
        <v/>
      </c>
      <c r="D360" s="70">
        <f>IF($V360="","",INDEX($Q$2:$Q$401,$V360))</f>
        <v/>
      </c>
      <c r="E360" s="4">
        <f>IF($V360="","",IF(INDEX($S$2:$S$401,$V360)&lt;&gt;"",INDEX($S$2:$S$401,$V360),IF(INDEX($R$2:$R$401,$V360)&lt;$B$2,"Vencida",IF(INDEX($R$2:$R$401,$V360)=$B$2,"Hoy","Programada"))))</f>
        <v/>
      </c>
      <c r="P360" s="26" t="n">
        <v>36</v>
      </c>
      <c r="Q360" s="26" t="n">
        <v>9</v>
      </c>
      <c r="R360" s="26">
        <f>INDEX(Progreso!$AZ$2:$BI$41,$P360,$Q360)</f>
        <v/>
      </c>
      <c r="S360" s="18">
        <f>IF(INDEX(Progreso!$AB$2:$AK$41,$P360,$Q360)=0,"",INDEX(Progreso!$AB$2:$AK$41,$P360,$Q360))</f>
        <v/>
      </c>
      <c r="T360" s="26">
        <f>IF($R360=0,"",COUNTIFS($R$2:$R$401,"&gt;0",$R$2:$R$401,"&lt;"&amp;$R360)+COUNTIFS($R$2:R360,"="&amp;$R360))</f>
        <v/>
      </c>
      <c r="V360" s="26">
        <f>IFERROR(MATCH(ROW()-ROW($V$12),$T$2:$T$401,0),"")</f>
        <v/>
      </c>
    </row>
    <row r="361" ht="22.5" customHeight="1">
      <c r="A361" s="78">
        <f>IF($V361="","",INDEX($R$2:$R$401,$V361))</f>
        <v/>
      </c>
      <c r="B361" s="2">
        <f>IF($V361="","",INDEX(DIAS_SEMANA,WEEKDAY(INDEX($R$2:$R$401,$V361),2)))</f>
        <v/>
      </c>
      <c r="C361" s="2">
        <f>IF($V361="","","Tema "&amp;INDEX($P$2:$P$401,$V361))</f>
        <v/>
      </c>
      <c r="D361" s="69">
        <f>IF($V361="","",INDEX($Q$2:$Q$401,$V361))</f>
        <v/>
      </c>
      <c r="E361" s="2">
        <f>IF($V361="","",IF(INDEX($S$2:$S$401,$V361)&lt;&gt;"",INDEX($S$2:$S$401,$V361),IF(INDEX($R$2:$R$401,$V361)&lt;$B$2,"Vencida",IF(INDEX($R$2:$R$401,$V361)=$B$2,"Hoy","Programada"))))</f>
        <v/>
      </c>
      <c r="P361" s="26" t="n">
        <v>36</v>
      </c>
      <c r="Q361" s="26" t="n">
        <v>10</v>
      </c>
      <c r="R361" s="26">
        <f>INDEX(Progreso!$AZ$2:$BI$41,$P361,$Q361)</f>
        <v/>
      </c>
      <c r="S361" s="18">
        <f>IF(INDEX(Progreso!$AB$2:$AK$41,$P361,$Q361)=0,"",INDEX(Progreso!$AB$2:$AK$41,$P361,$Q361))</f>
        <v/>
      </c>
      <c r="T361" s="26">
        <f>IF($R361=0,"",COUNTIFS($R$2:$R$401,"&gt;0",$R$2:$R$401,"&lt;"&amp;$R361)+COUNTIFS($R$2:R361,"="&amp;$R361))</f>
        <v/>
      </c>
      <c r="V361" s="26">
        <f>IFERROR(MATCH(ROW()-ROW($V$12),$T$2:$T$401,0),"")</f>
        <v/>
      </c>
    </row>
    <row r="362" ht="22.5" customHeight="1">
      <c r="A362" s="85">
        <f>IF($V362="","",INDEX($R$2:$R$401,$V362))</f>
        <v/>
      </c>
      <c r="B362" s="4">
        <f>IF($V362="","",INDEX(DIAS_SEMANA,WEEKDAY(INDEX($R$2:$R$401,$V362),2)))</f>
        <v/>
      </c>
      <c r="C362" s="4">
        <f>IF($V362="","","Tema "&amp;INDEX($P$2:$P$401,$V362))</f>
        <v/>
      </c>
      <c r="D362" s="70">
        <f>IF($V362="","",INDEX($Q$2:$Q$401,$V362))</f>
        <v/>
      </c>
      <c r="E362" s="4">
        <f>IF($V362="","",IF(INDEX($S$2:$S$401,$V362)&lt;&gt;"",INDEX($S$2:$S$401,$V362),IF(INDEX($R$2:$R$401,$V362)&lt;$B$2,"Vencida",IF(INDEX($R$2:$R$401,$V362)=$B$2,"Hoy","Programada"))))</f>
        <v/>
      </c>
      <c r="P362" s="26" t="n">
        <v>37</v>
      </c>
      <c r="Q362" s="26" t="n">
        <v>1</v>
      </c>
      <c r="R362" s="26">
        <f>INDEX(Progreso!$AZ$2:$BI$41,$P362,$Q362)</f>
        <v/>
      </c>
      <c r="S362" s="18">
        <f>IF(INDEX(Progreso!$AB$2:$AK$41,$P362,$Q362)=0,"",INDEX(Progreso!$AB$2:$AK$41,$P362,$Q362))</f>
        <v/>
      </c>
      <c r="T362" s="26">
        <f>IF($R362=0,"",COUNTIFS($R$2:$R$401,"&gt;0",$R$2:$R$401,"&lt;"&amp;$R362)+COUNTIFS($R$2:R362,"="&amp;$R362))</f>
        <v/>
      </c>
      <c r="V362" s="26">
        <f>IFERROR(MATCH(ROW()-ROW($V$12),$T$2:$T$401,0),"")</f>
        <v/>
      </c>
    </row>
    <row r="363" ht="22.5" customHeight="1">
      <c r="A363" s="78">
        <f>IF($V363="","",INDEX($R$2:$R$401,$V363))</f>
        <v/>
      </c>
      <c r="B363" s="2">
        <f>IF($V363="","",INDEX(DIAS_SEMANA,WEEKDAY(INDEX($R$2:$R$401,$V363),2)))</f>
        <v/>
      </c>
      <c r="C363" s="2">
        <f>IF($V363="","","Tema "&amp;INDEX($P$2:$P$401,$V363))</f>
        <v/>
      </c>
      <c r="D363" s="69">
        <f>IF($V363="","",INDEX($Q$2:$Q$401,$V363))</f>
        <v/>
      </c>
      <c r="E363" s="2">
        <f>IF($V363="","",IF(INDEX($S$2:$S$401,$V363)&lt;&gt;"",INDEX($S$2:$S$401,$V363),IF(INDEX($R$2:$R$401,$V363)&lt;$B$2,"Vencida",IF(INDEX($R$2:$R$401,$V363)=$B$2,"Hoy","Programada"))))</f>
        <v/>
      </c>
      <c r="P363" s="26" t="n">
        <v>37</v>
      </c>
      <c r="Q363" s="26" t="n">
        <v>2</v>
      </c>
      <c r="R363" s="26">
        <f>INDEX(Progreso!$AZ$2:$BI$41,$P363,$Q363)</f>
        <v/>
      </c>
      <c r="S363" s="18">
        <f>IF(INDEX(Progreso!$AB$2:$AK$41,$P363,$Q363)=0,"",INDEX(Progreso!$AB$2:$AK$41,$P363,$Q363))</f>
        <v/>
      </c>
      <c r="T363" s="26">
        <f>IF($R363=0,"",COUNTIFS($R$2:$R$401,"&gt;0",$R$2:$R$401,"&lt;"&amp;$R363)+COUNTIFS($R$2:R363,"="&amp;$R363))</f>
        <v/>
      </c>
      <c r="V363" s="26">
        <f>IFERROR(MATCH(ROW()-ROW($V$12),$T$2:$T$401,0),"")</f>
        <v/>
      </c>
    </row>
    <row r="364" ht="22.5" customHeight="1">
      <c r="A364" s="85">
        <f>IF($V364="","",INDEX($R$2:$R$401,$V364))</f>
        <v/>
      </c>
      <c r="B364" s="4">
        <f>IF($V364="","",INDEX(DIAS_SEMANA,WEEKDAY(INDEX($R$2:$R$401,$V364),2)))</f>
        <v/>
      </c>
      <c r="C364" s="4">
        <f>IF($V364="","","Tema "&amp;INDEX($P$2:$P$401,$V364))</f>
        <v/>
      </c>
      <c r="D364" s="70">
        <f>IF($V364="","",INDEX($Q$2:$Q$401,$V364))</f>
        <v/>
      </c>
      <c r="E364" s="4">
        <f>IF($V364="","",IF(INDEX($S$2:$S$401,$V364)&lt;&gt;"",INDEX($S$2:$S$401,$V364),IF(INDEX($R$2:$R$401,$V364)&lt;$B$2,"Vencida",IF(INDEX($R$2:$R$401,$V364)=$B$2,"Hoy","Programada"))))</f>
        <v/>
      </c>
      <c r="P364" s="26" t="n">
        <v>37</v>
      </c>
      <c r="Q364" s="26" t="n">
        <v>3</v>
      </c>
      <c r="R364" s="26">
        <f>INDEX(Progreso!$AZ$2:$BI$41,$P364,$Q364)</f>
        <v/>
      </c>
      <c r="S364" s="18">
        <f>IF(INDEX(Progreso!$AB$2:$AK$41,$P364,$Q364)=0,"",INDEX(Progreso!$AB$2:$AK$41,$P364,$Q364))</f>
        <v/>
      </c>
      <c r="T364" s="26">
        <f>IF($R364=0,"",COUNTIFS($R$2:$R$401,"&gt;0",$R$2:$R$401,"&lt;"&amp;$R364)+COUNTIFS($R$2:R364,"="&amp;$R364))</f>
        <v/>
      </c>
      <c r="V364" s="26">
        <f>IFERROR(MATCH(ROW()-ROW($V$12),$T$2:$T$401,0),"")</f>
        <v/>
      </c>
    </row>
    <row r="365" ht="22.5" customHeight="1">
      <c r="A365" s="78">
        <f>IF($V365="","",INDEX($R$2:$R$401,$V365))</f>
        <v/>
      </c>
      <c r="B365" s="2">
        <f>IF($V365="","",INDEX(DIAS_SEMANA,WEEKDAY(INDEX($R$2:$R$401,$V365),2)))</f>
        <v/>
      </c>
      <c r="C365" s="2">
        <f>IF($V365="","","Tema "&amp;INDEX($P$2:$P$401,$V365))</f>
        <v/>
      </c>
      <c r="D365" s="69">
        <f>IF($V365="","",INDEX($Q$2:$Q$401,$V365))</f>
        <v/>
      </c>
      <c r="E365" s="2">
        <f>IF($V365="","",IF(INDEX($S$2:$S$401,$V365)&lt;&gt;"",INDEX($S$2:$S$401,$V365),IF(INDEX($R$2:$R$401,$V365)&lt;$B$2,"Vencida",IF(INDEX($R$2:$R$401,$V365)=$B$2,"Hoy","Programada"))))</f>
        <v/>
      </c>
      <c r="P365" s="26" t="n">
        <v>37</v>
      </c>
      <c r="Q365" s="26" t="n">
        <v>4</v>
      </c>
      <c r="R365" s="26">
        <f>INDEX(Progreso!$AZ$2:$BI$41,$P365,$Q365)</f>
        <v/>
      </c>
      <c r="S365" s="18">
        <f>IF(INDEX(Progreso!$AB$2:$AK$41,$P365,$Q365)=0,"",INDEX(Progreso!$AB$2:$AK$41,$P365,$Q365))</f>
        <v/>
      </c>
      <c r="T365" s="26">
        <f>IF($R365=0,"",COUNTIFS($R$2:$R$401,"&gt;0",$R$2:$R$401,"&lt;"&amp;$R365)+COUNTIFS($R$2:R365,"="&amp;$R365))</f>
        <v/>
      </c>
      <c r="V365" s="26">
        <f>IFERROR(MATCH(ROW()-ROW($V$12),$T$2:$T$401,0),"")</f>
        <v/>
      </c>
    </row>
    <row r="366" ht="22.5" customHeight="1">
      <c r="A366" s="85">
        <f>IF($V366="","",INDEX($R$2:$R$401,$V366))</f>
        <v/>
      </c>
      <c r="B366" s="4">
        <f>IF($V366="","",INDEX(DIAS_SEMANA,WEEKDAY(INDEX($R$2:$R$401,$V366),2)))</f>
        <v/>
      </c>
      <c r="C366" s="4">
        <f>IF($V366="","","Tema "&amp;INDEX($P$2:$P$401,$V366))</f>
        <v/>
      </c>
      <c r="D366" s="70">
        <f>IF($V366="","",INDEX($Q$2:$Q$401,$V366))</f>
        <v/>
      </c>
      <c r="E366" s="4">
        <f>IF($V366="","",IF(INDEX($S$2:$S$401,$V366)&lt;&gt;"",INDEX($S$2:$S$401,$V366),IF(INDEX($R$2:$R$401,$V366)&lt;$B$2,"Vencida",IF(INDEX($R$2:$R$401,$V366)=$B$2,"Hoy","Programada"))))</f>
        <v/>
      </c>
      <c r="P366" s="26" t="n">
        <v>37</v>
      </c>
      <c r="Q366" s="26" t="n">
        <v>5</v>
      </c>
      <c r="R366" s="26">
        <f>INDEX(Progreso!$AZ$2:$BI$41,$P366,$Q366)</f>
        <v/>
      </c>
      <c r="S366" s="18">
        <f>IF(INDEX(Progreso!$AB$2:$AK$41,$P366,$Q366)=0,"",INDEX(Progreso!$AB$2:$AK$41,$P366,$Q366))</f>
        <v/>
      </c>
      <c r="T366" s="26">
        <f>IF($R366=0,"",COUNTIFS($R$2:$R$401,"&gt;0",$R$2:$R$401,"&lt;"&amp;$R366)+COUNTIFS($R$2:R366,"="&amp;$R366))</f>
        <v/>
      </c>
      <c r="V366" s="26">
        <f>IFERROR(MATCH(ROW()-ROW($V$12),$T$2:$T$401,0),"")</f>
        <v/>
      </c>
    </row>
    <row r="367" ht="22.5" customHeight="1">
      <c r="A367" s="78">
        <f>IF($V367="","",INDEX($R$2:$R$401,$V367))</f>
        <v/>
      </c>
      <c r="B367" s="2">
        <f>IF($V367="","",INDEX(DIAS_SEMANA,WEEKDAY(INDEX($R$2:$R$401,$V367),2)))</f>
        <v/>
      </c>
      <c r="C367" s="2">
        <f>IF($V367="","","Tema "&amp;INDEX($P$2:$P$401,$V367))</f>
        <v/>
      </c>
      <c r="D367" s="69">
        <f>IF($V367="","",INDEX($Q$2:$Q$401,$V367))</f>
        <v/>
      </c>
      <c r="E367" s="2">
        <f>IF($V367="","",IF(INDEX($S$2:$S$401,$V367)&lt;&gt;"",INDEX($S$2:$S$401,$V367),IF(INDEX($R$2:$R$401,$V367)&lt;$B$2,"Vencida",IF(INDEX($R$2:$R$401,$V367)=$B$2,"Hoy","Programada"))))</f>
        <v/>
      </c>
      <c r="P367" s="26" t="n">
        <v>37</v>
      </c>
      <c r="Q367" s="26" t="n">
        <v>6</v>
      </c>
      <c r="R367" s="26">
        <f>INDEX(Progreso!$AZ$2:$BI$41,$P367,$Q367)</f>
        <v/>
      </c>
      <c r="S367" s="18">
        <f>IF(INDEX(Progreso!$AB$2:$AK$41,$P367,$Q367)=0,"",INDEX(Progreso!$AB$2:$AK$41,$P367,$Q367))</f>
        <v/>
      </c>
      <c r="T367" s="26">
        <f>IF($R367=0,"",COUNTIFS($R$2:$R$401,"&gt;0",$R$2:$R$401,"&lt;"&amp;$R367)+COUNTIFS($R$2:R367,"="&amp;$R367))</f>
        <v/>
      </c>
      <c r="V367" s="26">
        <f>IFERROR(MATCH(ROW()-ROW($V$12),$T$2:$T$401,0),"")</f>
        <v/>
      </c>
    </row>
    <row r="368" ht="22.5" customHeight="1">
      <c r="A368" s="85">
        <f>IF($V368="","",INDEX($R$2:$R$401,$V368))</f>
        <v/>
      </c>
      <c r="B368" s="4">
        <f>IF($V368="","",INDEX(DIAS_SEMANA,WEEKDAY(INDEX($R$2:$R$401,$V368),2)))</f>
        <v/>
      </c>
      <c r="C368" s="4">
        <f>IF($V368="","","Tema "&amp;INDEX($P$2:$P$401,$V368))</f>
        <v/>
      </c>
      <c r="D368" s="70">
        <f>IF($V368="","",INDEX($Q$2:$Q$401,$V368))</f>
        <v/>
      </c>
      <c r="E368" s="4">
        <f>IF($V368="","",IF(INDEX($S$2:$S$401,$V368)&lt;&gt;"",INDEX($S$2:$S$401,$V368),IF(INDEX($R$2:$R$401,$V368)&lt;$B$2,"Vencida",IF(INDEX($R$2:$R$401,$V368)=$B$2,"Hoy","Programada"))))</f>
        <v/>
      </c>
      <c r="P368" s="26" t="n">
        <v>37</v>
      </c>
      <c r="Q368" s="26" t="n">
        <v>7</v>
      </c>
      <c r="R368" s="26">
        <f>INDEX(Progreso!$AZ$2:$BI$41,$P368,$Q368)</f>
        <v/>
      </c>
      <c r="S368" s="18">
        <f>IF(INDEX(Progreso!$AB$2:$AK$41,$P368,$Q368)=0,"",INDEX(Progreso!$AB$2:$AK$41,$P368,$Q368))</f>
        <v/>
      </c>
      <c r="T368" s="26">
        <f>IF($R368=0,"",COUNTIFS($R$2:$R$401,"&gt;0",$R$2:$R$401,"&lt;"&amp;$R368)+COUNTIFS($R$2:R368,"="&amp;$R368))</f>
        <v/>
      </c>
      <c r="V368" s="26">
        <f>IFERROR(MATCH(ROW()-ROW($V$12),$T$2:$T$401,0),"")</f>
        <v/>
      </c>
    </row>
    <row r="369" ht="22.5" customHeight="1">
      <c r="A369" s="78">
        <f>IF($V369="","",INDEX($R$2:$R$401,$V369))</f>
        <v/>
      </c>
      <c r="B369" s="2">
        <f>IF($V369="","",INDEX(DIAS_SEMANA,WEEKDAY(INDEX($R$2:$R$401,$V369),2)))</f>
        <v/>
      </c>
      <c r="C369" s="2">
        <f>IF($V369="","","Tema "&amp;INDEX($P$2:$P$401,$V369))</f>
        <v/>
      </c>
      <c r="D369" s="69">
        <f>IF($V369="","",INDEX($Q$2:$Q$401,$V369))</f>
        <v/>
      </c>
      <c r="E369" s="2">
        <f>IF($V369="","",IF(INDEX($S$2:$S$401,$V369)&lt;&gt;"",INDEX($S$2:$S$401,$V369),IF(INDEX($R$2:$R$401,$V369)&lt;$B$2,"Vencida",IF(INDEX($R$2:$R$401,$V369)=$B$2,"Hoy","Programada"))))</f>
        <v/>
      </c>
      <c r="P369" s="26" t="n">
        <v>37</v>
      </c>
      <c r="Q369" s="26" t="n">
        <v>8</v>
      </c>
      <c r="R369" s="26">
        <f>INDEX(Progreso!$AZ$2:$BI$41,$P369,$Q369)</f>
        <v/>
      </c>
      <c r="S369" s="18">
        <f>IF(INDEX(Progreso!$AB$2:$AK$41,$P369,$Q369)=0,"",INDEX(Progreso!$AB$2:$AK$41,$P369,$Q369))</f>
        <v/>
      </c>
      <c r="T369" s="26">
        <f>IF($R369=0,"",COUNTIFS($R$2:$R$401,"&gt;0",$R$2:$R$401,"&lt;"&amp;$R369)+COUNTIFS($R$2:R369,"="&amp;$R369))</f>
        <v/>
      </c>
      <c r="V369" s="26">
        <f>IFERROR(MATCH(ROW()-ROW($V$12),$T$2:$T$401,0),"")</f>
        <v/>
      </c>
    </row>
    <row r="370" ht="22.5" customHeight="1">
      <c r="A370" s="85">
        <f>IF($V370="","",INDEX($R$2:$R$401,$V370))</f>
        <v/>
      </c>
      <c r="B370" s="4">
        <f>IF($V370="","",INDEX(DIAS_SEMANA,WEEKDAY(INDEX($R$2:$R$401,$V370),2)))</f>
        <v/>
      </c>
      <c r="C370" s="4">
        <f>IF($V370="","","Tema "&amp;INDEX($P$2:$P$401,$V370))</f>
        <v/>
      </c>
      <c r="D370" s="70">
        <f>IF($V370="","",INDEX($Q$2:$Q$401,$V370))</f>
        <v/>
      </c>
      <c r="E370" s="4">
        <f>IF($V370="","",IF(INDEX($S$2:$S$401,$V370)&lt;&gt;"",INDEX($S$2:$S$401,$V370),IF(INDEX($R$2:$R$401,$V370)&lt;$B$2,"Vencida",IF(INDEX($R$2:$R$401,$V370)=$B$2,"Hoy","Programada"))))</f>
        <v/>
      </c>
      <c r="P370" s="26" t="n">
        <v>37</v>
      </c>
      <c r="Q370" s="26" t="n">
        <v>9</v>
      </c>
      <c r="R370" s="26">
        <f>INDEX(Progreso!$AZ$2:$BI$41,$P370,$Q370)</f>
        <v/>
      </c>
      <c r="S370" s="18">
        <f>IF(INDEX(Progreso!$AB$2:$AK$41,$P370,$Q370)=0,"",INDEX(Progreso!$AB$2:$AK$41,$P370,$Q370))</f>
        <v/>
      </c>
      <c r="T370" s="26">
        <f>IF($R370=0,"",COUNTIFS($R$2:$R$401,"&gt;0",$R$2:$R$401,"&lt;"&amp;$R370)+COUNTIFS($R$2:R370,"="&amp;$R370))</f>
        <v/>
      </c>
      <c r="V370" s="26">
        <f>IFERROR(MATCH(ROW()-ROW($V$12),$T$2:$T$401,0),"")</f>
        <v/>
      </c>
    </row>
    <row r="371" ht="22.5" customHeight="1">
      <c r="A371" s="78">
        <f>IF($V371="","",INDEX($R$2:$R$401,$V371))</f>
        <v/>
      </c>
      <c r="B371" s="2">
        <f>IF($V371="","",INDEX(DIAS_SEMANA,WEEKDAY(INDEX($R$2:$R$401,$V371),2)))</f>
        <v/>
      </c>
      <c r="C371" s="2">
        <f>IF($V371="","","Tema "&amp;INDEX($P$2:$P$401,$V371))</f>
        <v/>
      </c>
      <c r="D371" s="69">
        <f>IF($V371="","",INDEX($Q$2:$Q$401,$V371))</f>
        <v/>
      </c>
      <c r="E371" s="2">
        <f>IF($V371="","",IF(INDEX($S$2:$S$401,$V371)&lt;&gt;"",INDEX($S$2:$S$401,$V371),IF(INDEX($R$2:$R$401,$V371)&lt;$B$2,"Vencida",IF(INDEX($R$2:$R$401,$V371)=$B$2,"Hoy","Programada"))))</f>
        <v/>
      </c>
      <c r="P371" s="26" t="n">
        <v>37</v>
      </c>
      <c r="Q371" s="26" t="n">
        <v>10</v>
      </c>
      <c r="R371" s="26">
        <f>INDEX(Progreso!$AZ$2:$BI$41,$P371,$Q371)</f>
        <v/>
      </c>
      <c r="S371" s="18">
        <f>IF(INDEX(Progreso!$AB$2:$AK$41,$P371,$Q371)=0,"",INDEX(Progreso!$AB$2:$AK$41,$P371,$Q371))</f>
        <v/>
      </c>
      <c r="T371" s="26">
        <f>IF($R371=0,"",COUNTIFS($R$2:$R$401,"&gt;0",$R$2:$R$401,"&lt;"&amp;$R371)+COUNTIFS($R$2:R371,"="&amp;$R371))</f>
        <v/>
      </c>
      <c r="V371" s="26">
        <f>IFERROR(MATCH(ROW()-ROW($V$12),$T$2:$T$401,0),"")</f>
        <v/>
      </c>
    </row>
    <row r="372" ht="22.5" customHeight="1">
      <c r="A372" s="85">
        <f>IF($V372="","",INDEX($R$2:$R$401,$V372))</f>
        <v/>
      </c>
      <c r="B372" s="4">
        <f>IF($V372="","",INDEX(DIAS_SEMANA,WEEKDAY(INDEX($R$2:$R$401,$V372),2)))</f>
        <v/>
      </c>
      <c r="C372" s="4">
        <f>IF($V372="","","Tema "&amp;INDEX($P$2:$P$401,$V372))</f>
        <v/>
      </c>
      <c r="D372" s="70">
        <f>IF($V372="","",INDEX($Q$2:$Q$401,$V372))</f>
        <v/>
      </c>
      <c r="E372" s="4">
        <f>IF($V372="","",IF(INDEX($S$2:$S$401,$V372)&lt;&gt;"",INDEX($S$2:$S$401,$V372),IF(INDEX($R$2:$R$401,$V372)&lt;$B$2,"Vencida",IF(INDEX($R$2:$R$401,$V372)=$B$2,"Hoy","Programada"))))</f>
        <v/>
      </c>
      <c r="P372" s="26" t="n">
        <v>38</v>
      </c>
      <c r="Q372" s="26" t="n">
        <v>1</v>
      </c>
      <c r="R372" s="26">
        <f>INDEX(Progreso!$AZ$2:$BI$41,$P372,$Q372)</f>
        <v/>
      </c>
      <c r="S372" s="18">
        <f>IF(INDEX(Progreso!$AB$2:$AK$41,$P372,$Q372)=0,"",INDEX(Progreso!$AB$2:$AK$41,$P372,$Q372))</f>
        <v/>
      </c>
      <c r="T372" s="26">
        <f>IF($R372=0,"",COUNTIFS($R$2:$R$401,"&gt;0",$R$2:$R$401,"&lt;"&amp;$R372)+COUNTIFS($R$2:R372,"="&amp;$R372))</f>
        <v/>
      </c>
      <c r="V372" s="26">
        <f>IFERROR(MATCH(ROW()-ROW($V$12),$T$2:$T$401,0),"")</f>
        <v/>
      </c>
    </row>
    <row r="373" ht="22.5" customHeight="1">
      <c r="A373" s="78">
        <f>IF($V373="","",INDEX($R$2:$R$401,$V373))</f>
        <v/>
      </c>
      <c r="B373" s="2">
        <f>IF($V373="","",INDEX(DIAS_SEMANA,WEEKDAY(INDEX($R$2:$R$401,$V373),2)))</f>
        <v/>
      </c>
      <c r="C373" s="2">
        <f>IF($V373="","","Tema "&amp;INDEX($P$2:$P$401,$V373))</f>
        <v/>
      </c>
      <c r="D373" s="69">
        <f>IF($V373="","",INDEX($Q$2:$Q$401,$V373))</f>
        <v/>
      </c>
      <c r="E373" s="2">
        <f>IF($V373="","",IF(INDEX($S$2:$S$401,$V373)&lt;&gt;"",INDEX($S$2:$S$401,$V373),IF(INDEX($R$2:$R$401,$V373)&lt;$B$2,"Vencida",IF(INDEX($R$2:$R$401,$V373)=$B$2,"Hoy","Programada"))))</f>
        <v/>
      </c>
      <c r="P373" s="26" t="n">
        <v>38</v>
      </c>
      <c r="Q373" s="26" t="n">
        <v>2</v>
      </c>
      <c r="R373" s="26">
        <f>INDEX(Progreso!$AZ$2:$BI$41,$P373,$Q373)</f>
        <v/>
      </c>
      <c r="S373" s="18">
        <f>IF(INDEX(Progreso!$AB$2:$AK$41,$P373,$Q373)=0,"",INDEX(Progreso!$AB$2:$AK$41,$P373,$Q373))</f>
        <v/>
      </c>
      <c r="T373" s="26">
        <f>IF($R373=0,"",COUNTIFS($R$2:$R$401,"&gt;0",$R$2:$R$401,"&lt;"&amp;$R373)+COUNTIFS($R$2:R373,"="&amp;$R373))</f>
        <v/>
      </c>
      <c r="V373" s="26">
        <f>IFERROR(MATCH(ROW()-ROW($V$12),$T$2:$T$401,0),"")</f>
        <v/>
      </c>
    </row>
    <row r="374" ht="22.5" customHeight="1">
      <c r="A374" s="85">
        <f>IF($V374="","",INDEX($R$2:$R$401,$V374))</f>
        <v/>
      </c>
      <c r="B374" s="4">
        <f>IF($V374="","",INDEX(DIAS_SEMANA,WEEKDAY(INDEX($R$2:$R$401,$V374),2)))</f>
        <v/>
      </c>
      <c r="C374" s="4">
        <f>IF($V374="","","Tema "&amp;INDEX($P$2:$P$401,$V374))</f>
        <v/>
      </c>
      <c r="D374" s="70">
        <f>IF($V374="","",INDEX($Q$2:$Q$401,$V374))</f>
        <v/>
      </c>
      <c r="E374" s="4">
        <f>IF($V374="","",IF(INDEX($S$2:$S$401,$V374)&lt;&gt;"",INDEX($S$2:$S$401,$V374),IF(INDEX($R$2:$R$401,$V374)&lt;$B$2,"Vencida",IF(INDEX($R$2:$R$401,$V374)=$B$2,"Hoy","Programada"))))</f>
        <v/>
      </c>
      <c r="P374" s="26" t="n">
        <v>38</v>
      </c>
      <c r="Q374" s="26" t="n">
        <v>3</v>
      </c>
      <c r="R374" s="26">
        <f>INDEX(Progreso!$AZ$2:$BI$41,$P374,$Q374)</f>
        <v/>
      </c>
      <c r="S374" s="18">
        <f>IF(INDEX(Progreso!$AB$2:$AK$41,$P374,$Q374)=0,"",INDEX(Progreso!$AB$2:$AK$41,$P374,$Q374))</f>
        <v/>
      </c>
      <c r="T374" s="26">
        <f>IF($R374=0,"",COUNTIFS($R$2:$R$401,"&gt;0",$R$2:$R$401,"&lt;"&amp;$R374)+COUNTIFS($R$2:R374,"="&amp;$R374))</f>
        <v/>
      </c>
      <c r="V374" s="26">
        <f>IFERROR(MATCH(ROW()-ROW($V$12),$T$2:$T$401,0),"")</f>
        <v/>
      </c>
    </row>
    <row r="375" ht="22.5" customHeight="1">
      <c r="A375" s="78">
        <f>IF($V375="","",INDEX($R$2:$R$401,$V375))</f>
        <v/>
      </c>
      <c r="B375" s="2">
        <f>IF($V375="","",INDEX(DIAS_SEMANA,WEEKDAY(INDEX($R$2:$R$401,$V375),2)))</f>
        <v/>
      </c>
      <c r="C375" s="2">
        <f>IF($V375="","","Tema "&amp;INDEX($P$2:$P$401,$V375))</f>
        <v/>
      </c>
      <c r="D375" s="69">
        <f>IF($V375="","",INDEX($Q$2:$Q$401,$V375))</f>
        <v/>
      </c>
      <c r="E375" s="2">
        <f>IF($V375="","",IF(INDEX($S$2:$S$401,$V375)&lt;&gt;"",INDEX($S$2:$S$401,$V375),IF(INDEX($R$2:$R$401,$V375)&lt;$B$2,"Vencida",IF(INDEX($R$2:$R$401,$V375)=$B$2,"Hoy","Programada"))))</f>
        <v/>
      </c>
      <c r="P375" s="26" t="n">
        <v>38</v>
      </c>
      <c r="Q375" s="26" t="n">
        <v>4</v>
      </c>
      <c r="R375" s="26">
        <f>INDEX(Progreso!$AZ$2:$BI$41,$P375,$Q375)</f>
        <v/>
      </c>
      <c r="S375" s="18">
        <f>IF(INDEX(Progreso!$AB$2:$AK$41,$P375,$Q375)=0,"",INDEX(Progreso!$AB$2:$AK$41,$P375,$Q375))</f>
        <v/>
      </c>
      <c r="T375" s="26">
        <f>IF($R375=0,"",COUNTIFS($R$2:$R$401,"&gt;0",$R$2:$R$401,"&lt;"&amp;$R375)+COUNTIFS($R$2:R375,"="&amp;$R375))</f>
        <v/>
      </c>
      <c r="V375" s="26">
        <f>IFERROR(MATCH(ROW()-ROW($V$12),$T$2:$T$401,0),"")</f>
        <v/>
      </c>
    </row>
    <row r="376" ht="22.5" customHeight="1">
      <c r="A376" s="85">
        <f>IF($V376="","",INDEX($R$2:$R$401,$V376))</f>
        <v/>
      </c>
      <c r="B376" s="4">
        <f>IF($V376="","",INDEX(DIAS_SEMANA,WEEKDAY(INDEX($R$2:$R$401,$V376),2)))</f>
        <v/>
      </c>
      <c r="C376" s="4">
        <f>IF($V376="","","Tema "&amp;INDEX($P$2:$P$401,$V376))</f>
        <v/>
      </c>
      <c r="D376" s="70">
        <f>IF($V376="","",INDEX($Q$2:$Q$401,$V376))</f>
        <v/>
      </c>
      <c r="E376" s="4">
        <f>IF($V376="","",IF(INDEX($S$2:$S$401,$V376)&lt;&gt;"",INDEX($S$2:$S$401,$V376),IF(INDEX($R$2:$R$401,$V376)&lt;$B$2,"Vencida",IF(INDEX($R$2:$R$401,$V376)=$B$2,"Hoy","Programada"))))</f>
        <v/>
      </c>
      <c r="P376" s="26" t="n">
        <v>38</v>
      </c>
      <c r="Q376" s="26" t="n">
        <v>5</v>
      </c>
      <c r="R376" s="26">
        <f>INDEX(Progreso!$AZ$2:$BI$41,$P376,$Q376)</f>
        <v/>
      </c>
      <c r="S376" s="18">
        <f>IF(INDEX(Progreso!$AB$2:$AK$41,$P376,$Q376)=0,"",INDEX(Progreso!$AB$2:$AK$41,$P376,$Q376))</f>
        <v/>
      </c>
      <c r="T376" s="26">
        <f>IF($R376=0,"",COUNTIFS($R$2:$R$401,"&gt;0",$R$2:$R$401,"&lt;"&amp;$R376)+COUNTIFS($R$2:R376,"="&amp;$R376))</f>
        <v/>
      </c>
      <c r="V376" s="26">
        <f>IFERROR(MATCH(ROW()-ROW($V$12),$T$2:$T$401,0),"")</f>
        <v/>
      </c>
    </row>
    <row r="377" ht="22.5" customHeight="1">
      <c r="A377" s="78">
        <f>IF($V377="","",INDEX($R$2:$R$401,$V377))</f>
        <v/>
      </c>
      <c r="B377" s="2">
        <f>IF($V377="","",INDEX(DIAS_SEMANA,WEEKDAY(INDEX($R$2:$R$401,$V377),2)))</f>
        <v/>
      </c>
      <c r="C377" s="2">
        <f>IF($V377="","","Tema "&amp;INDEX($P$2:$P$401,$V377))</f>
        <v/>
      </c>
      <c r="D377" s="69">
        <f>IF($V377="","",INDEX($Q$2:$Q$401,$V377))</f>
        <v/>
      </c>
      <c r="E377" s="2">
        <f>IF($V377="","",IF(INDEX($S$2:$S$401,$V377)&lt;&gt;"",INDEX($S$2:$S$401,$V377),IF(INDEX($R$2:$R$401,$V377)&lt;$B$2,"Vencida",IF(INDEX($R$2:$R$401,$V377)=$B$2,"Hoy","Programada"))))</f>
        <v/>
      </c>
      <c r="P377" s="26" t="n">
        <v>38</v>
      </c>
      <c r="Q377" s="26" t="n">
        <v>6</v>
      </c>
      <c r="R377" s="26">
        <f>INDEX(Progreso!$AZ$2:$BI$41,$P377,$Q377)</f>
        <v/>
      </c>
      <c r="S377" s="18">
        <f>IF(INDEX(Progreso!$AB$2:$AK$41,$P377,$Q377)=0,"",INDEX(Progreso!$AB$2:$AK$41,$P377,$Q377))</f>
        <v/>
      </c>
      <c r="T377" s="26">
        <f>IF($R377=0,"",COUNTIFS($R$2:$R$401,"&gt;0",$R$2:$R$401,"&lt;"&amp;$R377)+COUNTIFS($R$2:R377,"="&amp;$R377))</f>
        <v/>
      </c>
      <c r="V377" s="26">
        <f>IFERROR(MATCH(ROW()-ROW($V$12),$T$2:$T$401,0),"")</f>
        <v/>
      </c>
    </row>
    <row r="378" ht="22.5" customHeight="1">
      <c r="A378" s="85">
        <f>IF($V378="","",INDEX($R$2:$R$401,$V378))</f>
        <v/>
      </c>
      <c r="B378" s="4">
        <f>IF($V378="","",INDEX(DIAS_SEMANA,WEEKDAY(INDEX($R$2:$R$401,$V378),2)))</f>
        <v/>
      </c>
      <c r="C378" s="4">
        <f>IF($V378="","","Tema "&amp;INDEX($P$2:$P$401,$V378))</f>
        <v/>
      </c>
      <c r="D378" s="70">
        <f>IF($V378="","",INDEX($Q$2:$Q$401,$V378))</f>
        <v/>
      </c>
      <c r="E378" s="4">
        <f>IF($V378="","",IF(INDEX($S$2:$S$401,$V378)&lt;&gt;"",INDEX($S$2:$S$401,$V378),IF(INDEX($R$2:$R$401,$V378)&lt;$B$2,"Vencida",IF(INDEX($R$2:$R$401,$V378)=$B$2,"Hoy","Programada"))))</f>
        <v/>
      </c>
      <c r="P378" s="26" t="n">
        <v>38</v>
      </c>
      <c r="Q378" s="26" t="n">
        <v>7</v>
      </c>
      <c r="R378" s="26">
        <f>INDEX(Progreso!$AZ$2:$BI$41,$P378,$Q378)</f>
        <v/>
      </c>
      <c r="S378" s="18">
        <f>IF(INDEX(Progreso!$AB$2:$AK$41,$P378,$Q378)=0,"",INDEX(Progreso!$AB$2:$AK$41,$P378,$Q378))</f>
        <v/>
      </c>
      <c r="T378" s="26">
        <f>IF($R378=0,"",COUNTIFS($R$2:$R$401,"&gt;0",$R$2:$R$401,"&lt;"&amp;$R378)+COUNTIFS($R$2:R378,"="&amp;$R378))</f>
        <v/>
      </c>
      <c r="V378" s="26">
        <f>IFERROR(MATCH(ROW()-ROW($V$12),$T$2:$T$401,0),"")</f>
        <v/>
      </c>
    </row>
    <row r="379" ht="22.5" customHeight="1">
      <c r="A379" s="78">
        <f>IF($V379="","",INDEX($R$2:$R$401,$V379))</f>
        <v/>
      </c>
      <c r="B379" s="2">
        <f>IF($V379="","",INDEX(DIAS_SEMANA,WEEKDAY(INDEX($R$2:$R$401,$V379),2)))</f>
        <v/>
      </c>
      <c r="C379" s="2">
        <f>IF($V379="","","Tema "&amp;INDEX($P$2:$P$401,$V379))</f>
        <v/>
      </c>
      <c r="D379" s="69">
        <f>IF($V379="","",INDEX($Q$2:$Q$401,$V379))</f>
        <v/>
      </c>
      <c r="E379" s="2">
        <f>IF($V379="","",IF(INDEX($S$2:$S$401,$V379)&lt;&gt;"",INDEX($S$2:$S$401,$V379),IF(INDEX($R$2:$R$401,$V379)&lt;$B$2,"Vencida",IF(INDEX($R$2:$R$401,$V379)=$B$2,"Hoy","Programada"))))</f>
        <v/>
      </c>
      <c r="P379" s="26" t="n">
        <v>38</v>
      </c>
      <c r="Q379" s="26" t="n">
        <v>8</v>
      </c>
      <c r="R379" s="26">
        <f>INDEX(Progreso!$AZ$2:$BI$41,$P379,$Q379)</f>
        <v/>
      </c>
      <c r="S379" s="18">
        <f>IF(INDEX(Progreso!$AB$2:$AK$41,$P379,$Q379)=0,"",INDEX(Progreso!$AB$2:$AK$41,$P379,$Q379))</f>
        <v/>
      </c>
      <c r="T379" s="26">
        <f>IF($R379=0,"",COUNTIFS($R$2:$R$401,"&gt;0",$R$2:$R$401,"&lt;"&amp;$R379)+COUNTIFS($R$2:R379,"="&amp;$R379))</f>
        <v/>
      </c>
      <c r="V379" s="26">
        <f>IFERROR(MATCH(ROW()-ROW($V$12),$T$2:$T$401,0),"")</f>
        <v/>
      </c>
    </row>
    <row r="380" ht="22.5" customHeight="1">
      <c r="A380" s="85">
        <f>IF($V380="","",INDEX($R$2:$R$401,$V380))</f>
        <v/>
      </c>
      <c r="B380" s="4">
        <f>IF($V380="","",INDEX(DIAS_SEMANA,WEEKDAY(INDEX($R$2:$R$401,$V380),2)))</f>
        <v/>
      </c>
      <c r="C380" s="4">
        <f>IF($V380="","","Tema "&amp;INDEX($P$2:$P$401,$V380))</f>
        <v/>
      </c>
      <c r="D380" s="70">
        <f>IF($V380="","",INDEX($Q$2:$Q$401,$V380))</f>
        <v/>
      </c>
      <c r="E380" s="4">
        <f>IF($V380="","",IF(INDEX($S$2:$S$401,$V380)&lt;&gt;"",INDEX($S$2:$S$401,$V380),IF(INDEX($R$2:$R$401,$V380)&lt;$B$2,"Vencida",IF(INDEX($R$2:$R$401,$V380)=$B$2,"Hoy","Programada"))))</f>
        <v/>
      </c>
      <c r="P380" s="26" t="n">
        <v>38</v>
      </c>
      <c r="Q380" s="26" t="n">
        <v>9</v>
      </c>
      <c r="R380" s="26">
        <f>INDEX(Progreso!$AZ$2:$BI$41,$P380,$Q380)</f>
        <v/>
      </c>
      <c r="S380" s="18">
        <f>IF(INDEX(Progreso!$AB$2:$AK$41,$P380,$Q380)=0,"",INDEX(Progreso!$AB$2:$AK$41,$P380,$Q380))</f>
        <v/>
      </c>
      <c r="T380" s="26">
        <f>IF($R380=0,"",COUNTIFS($R$2:$R$401,"&gt;0",$R$2:$R$401,"&lt;"&amp;$R380)+COUNTIFS($R$2:R380,"="&amp;$R380))</f>
        <v/>
      </c>
      <c r="V380" s="26">
        <f>IFERROR(MATCH(ROW()-ROW($V$12),$T$2:$T$401,0),"")</f>
        <v/>
      </c>
    </row>
    <row r="381" ht="22.5" customHeight="1">
      <c r="A381" s="78">
        <f>IF($V381="","",INDEX($R$2:$R$401,$V381))</f>
        <v/>
      </c>
      <c r="B381" s="2">
        <f>IF($V381="","",INDEX(DIAS_SEMANA,WEEKDAY(INDEX($R$2:$R$401,$V381),2)))</f>
        <v/>
      </c>
      <c r="C381" s="2">
        <f>IF($V381="","","Tema "&amp;INDEX($P$2:$P$401,$V381))</f>
        <v/>
      </c>
      <c r="D381" s="69">
        <f>IF($V381="","",INDEX($Q$2:$Q$401,$V381))</f>
        <v/>
      </c>
      <c r="E381" s="2">
        <f>IF($V381="","",IF(INDEX($S$2:$S$401,$V381)&lt;&gt;"",INDEX($S$2:$S$401,$V381),IF(INDEX($R$2:$R$401,$V381)&lt;$B$2,"Vencida",IF(INDEX($R$2:$R$401,$V381)=$B$2,"Hoy","Programada"))))</f>
        <v/>
      </c>
      <c r="P381" s="26" t="n">
        <v>38</v>
      </c>
      <c r="Q381" s="26" t="n">
        <v>10</v>
      </c>
      <c r="R381" s="26">
        <f>INDEX(Progreso!$AZ$2:$BI$41,$P381,$Q381)</f>
        <v/>
      </c>
      <c r="S381" s="18">
        <f>IF(INDEX(Progreso!$AB$2:$AK$41,$P381,$Q381)=0,"",INDEX(Progreso!$AB$2:$AK$41,$P381,$Q381))</f>
        <v/>
      </c>
      <c r="T381" s="26">
        <f>IF($R381=0,"",COUNTIFS($R$2:$R$401,"&gt;0",$R$2:$R$401,"&lt;"&amp;$R381)+COUNTIFS($R$2:R381,"="&amp;$R381))</f>
        <v/>
      </c>
      <c r="V381" s="26">
        <f>IFERROR(MATCH(ROW()-ROW($V$12),$T$2:$T$401,0),"")</f>
        <v/>
      </c>
    </row>
    <row r="382" ht="22.5" customHeight="1">
      <c r="A382" s="85">
        <f>IF($V382="","",INDEX($R$2:$R$401,$V382))</f>
        <v/>
      </c>
      <c r="B382" s="4">
        <f>IF($V382="","",INDEX(DIAS_SEMANA,WEEKDAY(INDEX($R$2:$R$401,$V382),2)))</f>
        <v/>
      </c>
      <c r="C382" s="4">
        <f>IF($V382="","","Tema "&amp;INDEX($P$2:$P$401,$V382))</f>
        <v/>
      </c>
      <c r="D382" s="70">
        <f>IF($V382="","",INDEX($Q$2:$Q$401,$V382))</f>
        <v/>
      </c>
      <c r="E382" s="4">
        <f>IF($V382="","",IF(INDEX($S$2:$S$401,$V382)&lt;&gt;"",INDEX($S$2:$S$401,$V382),IF(INDEX($R$2:$R$401,$V382)&lt;$B$2,"Vencida",IF(INDEX($R$2:$R$401,$V382)=$B$2,"Hoy","Programada"))))</f>
        <v/>
      </c>
      <c r="P382" s="26" t="n">
        <v>39</v>
      </c>
      <c r="Q382" s="26" t="n">
        <v>1</v>
      </c>
      <c r="R382" s="26">
        <f>INDEX(Progreso!$AZ$2:$BI$41,$P382,$Q382)</f>
        <v/>
      </c>
      <c r="S382" s="18">
        <f>IF(INDEX(Progreso!$AB$2:$AK$41,$P382,$Q382)=0,"",INDEX(Progreso!$AB$2:$AK$41,$P382,$Q382))</f>
        <v/>
      </c>
      <c r="T382" s="26">
        <f>IF($R382=0,"",COUNTIFS($R$2:$R$401,"&gt;0",$R$2:$R$401,"&lt;"&amp;$R382)+COUNTIFS($R$2:R382,"="&amp;$R382))</f>
        <v/>
      </c>
      <c r="V382" s="26">
        <f>IFERROR(MATCH(ROW()-ROW($V$12),$T$2:$T$401,0),"")</f>
        <v/>
      </c>
    </row>
    <row r="383" ht="22.5" customHeight="1">
      <c r="A383" s="78">
        <f>IF($V383="","",INDEX($R$2:$R$401,$V383))</f>
        <v/>
      </c>
      <c r="B383" s="2">
        <f>IF($V383="","",INDEX(DIAS_SEMANA,WEEKDAY(INDEX($R$2:$R$401,$V383),2)))</f>
        <v/>
      </c>
      <c r="C383" s="2">
        <f>IF($V383="","","Tema "&amp;INDEX($P$2:$P$401,$V383))</f>
        <v/>
      </c>
      <c r="D383" s="69">
        <f>IF($V383="","",INDEX($Q$2:$Q$401,$V383))</f>
        <v/>
      </c>
      <c r="E383" s="2">
        <f>IF($V383="","",IF(INDEX($S$2:$S$401,$V383)&lt;&gt;"",INDEX($S$2:$S$401,$V383),IF(INDEX($R$2:$R$401,$V383)&lt;$B$2,"Vencida",IF(INDEX($R$2:$R$401,$V383)=$B$2,"Hoy","Programada"))))</f>
        <v/>
      </c>
      <c r="P383" s="26" t="n">
        <v>39</v>
      </c>
      <c r="Q383" s="26" t="n">
        <v>2</v>
      </c>
      <c r="R383" s="26">
        <f>INDEX(Progreso!$AZ$2:$BI$41,$P383,$Q383)</f>
        <v/>
      </c>
      <c r="S383" s="18">
        <f>IF(INDEX(Progreso!$AB$2:$AK$41,$P383,$Q383)=0,"",INDEX(Progreso!$AB$2:$AK$41,$P383,$Q383))</f>
        <v/>
      </c>
      <c r="T383" s="26">
        <f>IF($R383=0,"",COUNTIFS($R$2:$R$401,"&gt;0",$R$2:$R$401,"&lt;"&amp;$R383)+COUNTIFS($R$2:R383,"="&amp;$R383))</f>
        <v/>
      </c>
      <c r="V383" s="26">
        <f>IFERROR(MATCH(ROW()-ROW($V$12),$T$2:$T$401,0),"")</f>
        <v/>
      </c>
    </row>
    <row r="384" ht="22.5" customHeight="1">
      <c r="A384" s="85">
        <f>IF($V384="","",INDEX($R$2:$R$401,$V384))</f>
        <v/>
      </c>
      <c r="B384" s="4">
        <f>IF($V384="","",INDEX(DIAS_SEMANA,WEEKDAY(INDEX($R$2:$R$401,$V384),2)))</f>
        <v/>
      </c>
      <c r="C384" s="4">
        <f>IF($V384="","","Tema "&amp;INDEX($P$2:$P$401,$V384))</f>
        <v/>
      </c>
      <c r="D384" s="70">
        <f>IF($V384="","",INDEX($Q$2:$Q$401,$V384))</f>
        <v/>
      </c>
      <c r="E384" s="4">
        <f>IF($V384="","",IF(INDEX($S$2:$S$401,$V384)&lt;&gt;"",INDEX($S$2:$S$401,$V384),IF(INDEX($R$2:$R$401,$V384)&lt;$B$2,"Vencida",IF(INDEX($R$2:$R$401,$V384)=$B$2,"Hoy","Programada"))))</f>
        <v/>
      </c>
      <c r="P384" s="26" t="n">
        <v>39</v>
      </c>
      <c r="Q384" s="26" t="n">
        <v>3</v>
      </c>
      <c r="R384" s="26">
        <f>INDEX(Progreso!$AZ$2:$BI$41,$P384,$Q384)</f>
        <v/>
      </c>
      <c r="S384" s="18">
        <f>IF(INDEX(Progreso!$AB$2:$AK$41,$P384,$Q384)=0,"",INDEX(Progreso!$AB$2:$AK$41,$P384,$Q384))</f>
        <v/>
      </c>
      <c r="T384" s="26">
        <f>IF($R384=0,"",COUNTIFS($R$2:$R$401,"&gt;0",$R$2:$R$401,"&lt;"&amp;$R384)+COUNTIFS($R$2:R384,"="&amp;$R384))</f>
        <v/>
      </c>
      <c r="V384" s="26">
        <f>IFERROR(MATCH(ROW()-ROW($V$12),$T$2:$T$401,0),"")</f>
        <v/>
      </c>
    </row>
    <row r="385" ht="22.5" customHeight="1">
      <c r="A385" s="78">
        <f>IF($V385="","",INDEX($R$2:$R$401,$V385))</f>
        <v/>
      </c>
      <c r="B385" s="2">
        <f>IF($V385="","",INDEX(DIAS_SEMANA,WEEKDAY(INDEX($R$2:$R$401,$V385),2)))</f>
        <v/>
      </c>
      <c r="C385" s="2">
        <f>IF($V385="","","Tema "&amp;INDEX($P$2:$P$401,$V385))</f>
        <v/>
      </c>
      <c r="D385" s="69">
        <f>IF($V385="","",INDEX($Q$2:$Q$401,$V385))</f>
        <v/>
      </c>
      <c r="E385" s="2">
        <f>IF($V385="","",IF(INDEX($S$2:$S$401,$V385)&lt;&gt;"",INDEX($S$2:$S$401,$V385),IF(INDEX($R$2:$R$401,$V385)&lt;$B$2,"Vencida",IF(INDEX($R$2:$R$401,$V385)=$B$2,"Hoy","Programada"))))</f>
        <v/>
      </c>
      <c r="P385" s="26" t="n">
        <v>39</v>
      </c>
      <c r="Q385" s="26" t="n">
        <v>4</v>
      </c>
      <c r="R385" s="26">
        <f>INDEX(Progreso!$AZ$2:$BI$41,$P385,$Q385)</f>
        <v/>
      </c>
      <c r="S385" s="18">
        <f>IF(INDEX(Progreso!$AB$2:$AK$41,$P385,$Q385)=0,"",INDEX(Progreso!$AB$2:$AK$41,$P385,$Q385))</f>
        <v/>
      </c>
      <c r="T385" s="26">
        <f>IF($R385=0,"",COUNTIFS($R$2:$R$401,"&gt;0",$R$2:$R$401,"&lt;"&amp;$R385)+COUNTIFS($R$2:R385,"="&amp;$R385))</f>
        <v/>
      </c>
      <c r="V385" s="26">
        <f>IFERROR(MATCH(ROW()-ROW($V$12),$T$2:$T$401,0),"")</f>
        <v/>
      </c>
    </row>
    <row r="386" ht="22.5" customHeight="1">
      <c r="A386" s="85">
        <f>IF($V386="","",INDEX($R$2:$R$401,$V386))</f>
        <v/>
      </c>
      <c r="B386" s="4">
        <f>IF($V386="","",INDEX(DIAS_SEMANA,WEEKDAY(INDEX($R$2:$R$401,$V386),2)))</f>
        <v/>
      </c>
      <c r="C386" s="4">
        <f>IF($V386="","","Tema "&amp;INDEX($P$2:$P$401,$V386))</f>
        <v/>
      </c>
      <c r="D386" s="70">
        <f>IF($V386="","",INDEX($Q$2:$Q$401,$V386))</f>
        <v/>
      </c>
      <c r="E386" s="4">
        <f>IF($V386="","",IF(INDEX($S$2:$S$401,$V386)&lt;&gt;"",INDEX($S$2:$S$401,$V386),IF(INDEX($R$2:$R$401,$V386)&lt;$B$2,"Vencida",IF(INDEX($R$2:$R$401,$V386)=$B$2,"Hoy","Programada"))))</f>
        <v/>
      </c>
      <c r="P386" s="26" t="n">
        <v>39</v>
      </c>
      <c r="Q386" s="26" t="n">
        <v>5</v>
      </c>
      <c r="R386" s="26">
        <f>INDEX(Progreso!$AZ$2:$BI$41,$P386,$Q386)</f>
        <v/>
      </c>
      <c r="S386" s="18">
        <f>IF(INDEX(Progreso!$AB$2:$AK$41,$P386,$Q386)=0,"",INDEX(Progreso!$AB$2:$AK$41,$P386,$Q386))</f>
        <v/>
      </c>
      <c r="T386" s="26">
        <f>IF($R386=0,"",COUNTIFS($R$2:$R$401,"&gt;0",$R$2:$R$401,"&lt;"&amp;$R386)+COUNTIFS($R$2:R386,"="&amp;$R386))</f>
        <v/>
      </c>
      <c r="V386" s="26">
        <f>IFERROR(MATCH(ROW()-ROW($V$12),$T$2:$T$401,0),"")</f>
        <v/>
      </c>
    </row>
    <row r="387" ht="22.5" customHeight="1">
      <c r="A387" s="78">
        <f>IF($V387="","",INDEX($R$2:$R$401,$V387))</f>
        <v/>
      </c>
      <c r="B387" s="2">
        <f>IF($V387="","",INDEX(DIAS_SEMANA,WEEKDAY(INDEX($R$2:$R$401,$V387),2)))</f>
        <v/>
      </c>
      <c r="C387" s="2">
        <f>IF($V387="","","Tema "&amp;INDEX($P$2:$P$401,$V387))</f>
        <v/>
      </c>
      <c r="D387" s="69">
        <f>IF($V387="","",INDEX($Q$2:$Q$401,$V387))</f>
        <v/>
      </c>
      <c r="E387" s="2">
        <f>IF($V387="","",IF(INDEX($S$2:$S$401,$V387)&lt;&gt;"",INDEX($S$2:$S$401,$V387),IF(INDEX($R$2:$R$401,$V387)&lt;$B$2,"Vencida",IF(INDEX($R$2:$R$401,$V387)=$B$2,"Hoy","Programada"))))</f>
        <v/>
      </c>
      <c r="P387" s="26" t="n">
        <v>39</v>
      </c>
      <c r="Q387" s="26" t="n">
        <v>6</v>
      </c>
      <c r="R387" s="26">
        <f>INDEX(Progreso!$AZ$2:$BI$41,$P387,$Q387)</f>
        <v/>
      </c>
      <c r="S387" s="18">
        <f>IF(INDEX(Progreso!$AB$2:$AK$41,$P387,$Q387)=0,"",INDEX(Progreso!$AB$2:$AK$41,$P387,$Q387))</f>
        <v/>
      </c>
      <c r="T387" s="26">
        <f>IF($R387=0,"",COUNTIFS($R$2:$R$401,"&gt;0",$R$2:$R$401,"&lt;"&amp;$R387)+COUNTIFS($R$2:R387,"="&amp;$R387))</f>
        <v/>
      </c>
      <c r="V387" s="26">
        <f>IFERROR(MATCH(ROW()-ROW($V$12),$T$2:$T$401,0),"")</f>
        <v/>
      </c>
    </row>
    <row r="388" ht="22.5" customHeight="1">
      <c r="A388" s="85">
        <f>IF($V388="","",INDEX($R$2:$R$401,$V388))</f>
        <v/>
      </c>
      <c r="B388" s="4">
        <f>IF($V388="","",INDEX(DIAS_SEMANA,WEEKDAY(INDEX($R$2:$R$401,$V388),2)))</f>
        <v/>
      </c>
      <c r="C388" s="4">
        <f>IF($V388="","","Tema "&amp;INDEX($P$2:$P$401,$V388))</f>
        <v/>
      </c>
      <c r="D388" s="70">
        <f>IF($V388="","",INDEX($Q$2:$Q$401,$V388))</f>
        <v/>
      </c>
      <c r="E388" s="4">
        <f>IF($V388="","",IF(INDEX($S$2:$S$401,$V388)&lt;&gt;"",INDEX($S$2:$S$401,$V388),IF(INDEX($R$2:$R$401,$V388)&lt;$B$2,"Vencida",IF(INDEX($R$2:$R$401,$V388)=$B$2,"Hoy","Programada"))))</f>
        <v/>
      </c>
      <c r="P388" s="26" t="n">
        <v>39</v>
      </c>
      <c r="Q388" s="26" t="n">
        <v>7</v>
      </c>
      <c r="R388" s="26">
        <f>INDEX(Progreso!$AZ$2:$BI$41,$P388,$Q388)</f>
        <v/>
      </c>
      <c r="S388" s="18">
        <f>IF(INDEX(Progreso!$AB$2:$AK$41,$P388,$Q388)=0,"",INDEX(Progreso!$AB$2:$AK$41,$P388,$Q388))</f>
        <v/>
      </c>
      <c r="T388" s="26">
        <f>IF($R388=0,"",COUNTIFS($R$2:$R$401,"&gt;0",$R$2:$R$401,"&lt;"&amp;$R388)+COUNTIFS($R$2:R388,"="&amp;$R388))</f>
        <v/>
      </c>
      <c r="V388" s="26">
        <f>IFERROR(MATCH(ROW()-ROW($V$12),$T$2:$T$401,0),"")</f>
        <v/>
      </c>
    </row>
    <row r="389" ht="22.5" customHeight="1">
      <c r="A389" s="78">
        <f>IF($V389="","",INDEX($R$2:$R$401,$V389))</f>
        <v/>
      </c>
      <c r="B389" s="2">
        <f>IF($V389="","",INDEX(DIAS_SEMANA,WEEKDAY(INDEX($R$2:$R$401,$V389),2)))</f>
        <v/>
      </c>
      <c r="C389" s="2">
        <f>IF($V389="","","Tema "&amp;INDEX($P$2:$P$401,$V389))</f>
        <v/>
      </c>
      <c r="D389" s="69">
        <f>IF($V389="","",INDEX($Q$2:$Q$401,$V389))</f>
        <v/>
      </c>
      <c r="E389" s="2">
        <f>IF($V389="","",IF(INDEX($S$2:$S$401,$V389)&lt;&gt;"",INDEX($S$2:$S$401,$V389),IF(INDEX($R$2:$R$401,$V389)&lt;$B$2,"Vencida",IF(INDEX($R$2:$R$401,$V389)=$B$2,"Hoy","Programada"))))</f>
        <v/>
      </c>
      <c r="P389" s="26" t="n">
        <v>39</v>
      </c>
      <c r="Q389" s="26" t="n">
        <v>8</v>
      </c>
      <c r="R389" s="26">
        <f>INDEX(Progreso!$AZ$2:$BI$41,$P389,$Q389)</f>
        <v/>
      </c>
      <c r="S389" s="18">
        <f>IF(INDEX(Progreso!$AB$2:$AK$41,$P389,$Q389)=0,"",INDEX(Progreso!$AB$2:$AK$41,$P389,$Q389))</f>
        <v/>
      </c>
      <c r="T389" s="26">
        <f>IF($R389=0,"",COUNTIFS($R$2:$R$401,"&gt;0",$R$2:$R$401,"&lt;"&amp;$R389)+COUNTIFS($R$2:R389,"="&amp;$R389))</f>
        <v/>
      </c>
      <c r="V389" s="26">
        <f>IFERROR(MATCH(ROW()-ROW($V$12),$T$2:$T$401,0),"")</f>
        <v/>
      </c>
    </row>
    <row r="390" ht="22.5" customHeight="1">
      <c r="A390" s="85">
        <f>IF($V390="","",INDEX($R$2:$R$401,$V390))</f>
        <v/>
      </c>
      <c r="B390" s="4">
        <f>IF($V390="","",INDEX(DIAS_SEMANA,WEEKDAY(INDEX($R$2:$R$401,$V390),2)))</f>
        <v/>
      </c>
      <c r="C390" s="4">
        <f>IF($V390="","","Tema "&amp;INDEX($P$2:$P$401,$V390))</f>
        <v/>
      </c>
      <c r="D390" s="70">
        <f>IF($V390="","",INDEX($Q$2:$Q$401,$V390))</f>
        <v/>
      </c>
      <c r="E390" s="4">
        <f>IF($V390="","",IF(INDEX($S$2:$S$401,$V390)&lt;&gt;"",INDEX($S$2:$S$401,$V390),IF(INDEX($R$2:$R$401,$V390)&lt;$B$2,"Vencida",IF(INDEX($R$2:$R$401,$V390)=$B$2,"Hoy","Programada"))))</f>
        <v/>
      </c>
      <c r="P390" s="26" t="n">
        <v>39</v>
      </c>
      <c r="Q390" s="26" t="n">
        <v>9</v>
      </c>
      <c r="R390" s="26">
        <f>INDEX(Progreso!$AZ$2:$BI$41,$P390,$Q390)</f>
        <v/>
      </c>
      <c r="S390" s="18">
        <f>IF(INDEX(Progreso!$AB$2:$AK$41,$P390,$Q390)=0,"",INDEX(Progreso!$AB$2:$AK$41,$P390,$Q390))</f>
        <v/>
      </c>
      <c r="T390" s="26">
        <f>IF($R390=0,"",COUNTIFS($R$2:$R$401,"&gt;0",$R$2:$R$401,"&lt;"&amp;$R390)+COUNTIFS($R$2:R390,"="&amp;$R390))</f>
        <v/>
      </c>
      <c r="V390" s="26">
        <f>IFERROR(MATCH(ROW()-ROW($V$12),$T$2:$T$401,0),"")</f>
        <v/>
      </c>
    </row>
    <row r="391" ht="22.5" customHeight="1">
      <c r="A391" s="78">
        <f>IF($V391="","",INDEX($R$2:$R$401,$V391))</f>
        <v/>
      </c>
      <c r="B391" s="2">
        <f>IF($V391="","",INDEX(DIAS_SEMANA,WEEKDAY(INDEX($R$2:$R$401,$V391),2)))</f>
        <v/>
      </c>
      <c r="C391" s="2">
        <f>IF($V391="","","Tema "&amp;INDEX($P$2:$P$401,$V391))</f>
        <v/>
      </c>
      <c r="D391" s="69">
        <f>IF($V391="","",INDEX($Q$2:$Q$401,$V391))</f>
        <v/>
      </c>
      <c r="E391" s="2">
        <f>IF($V391="","",IF(INDEX($S$2:$S$401,$V391)&lt;&gt;"",INDEX($S$2:$S$401,$V391),IF(INDEX($R$2:$R$401,$V391)&lt;$B$2,"Vencida",IF(INDEX($R$2:$R$401,$V391)=$B$2,"Hoy","Programada"))))</f>
        <v/>
      </c>
      <c r="P391" s="26" t="n">
        <v>39</v>
      </c>
      <c r="Q391" s="26" t="n">
        <v>10</v>
      </c>
      <c r="R391" s="26">
        <f>INDEX(Progreso!$AZ$2:$BI$41,$P391,$Q391)</f>
        <v/>
      </c>
      <c r="S391" s="18">
        <f>IF(INDEX(Progreso!$AB$2:$AK$41,$P391,$Q391)=0,"",INDEX(Progreso!$AB$2:$AK$41,$P391,$Q391))</f>
        <v/>
      </c>
      <c r="T391" s="26">
        <f>IF($R391=0,"",COUNTIFS($R$2:$R$401,"&gt;0",$R$2:$R$401,"&lt;"&amp;$R391)+COUNTIFS($R$2:R391,"="&amp;$R391))</f>
        <v/>
      </c>
      <c r="V391" s="26">
        <f>IFERROR(MATCH(ROW()-ROW($V$12),$T$2:$T$401,0),"")</f>
        <v/>
      </c>
    </row>
    <row r="392" ht="22.5" customHeight="1">
      <c r="A392" s="85">
        <f>IF($V392="","",INDEX($R$2:$R$401,$V392))</f>
        <v/>
      </c>
      <c r="B392" s="4">
        <f>IF($V392="","",INDEX(DIAS_SEMANA,WEEKDAY(INDEX($R$2:$R$401,$V392),2)))</f>
        <v/>
      </c>
      <c r="C392" s="4">
        <f>IF($V392="","","Tema "&amp;INDEX($P$2:$P$401,$V392))</f>
        <v/>
      </c>
      <c r="D392" s="70">
        <f>IF($V392="","",INDEX($Q$2:$Q$401,$V392))</f>
        <v/>
      </c>
      <c r="E392" s="4">
        <f>IF($V392="","",IF(INDEX($S$2:$S$401,$V392)&lt;&gt;"",INDEX($S$2:$S$401,$V392),IF(INDEX($R$2:$R$401,$V392)&lt;$B$2,"Vencida",IF(INDEX($R$2:$R$401,$V392)=$B$2,"Hoy","Programada"))))</f>
        <v/>
      </c>
      <c r="P392" s="26" t="n">
        <v>40</v>
      </c>
      <c r="Q392" s="26" t="n">
        <v>1</v>
      </c>
      <c r="R392" s="26">
        <f>INDEX(Progreso!$AZ$2:$BI$41,$P392,$Q392)</f>
        <v/>
      </c>
      <c r="S392" s="18">
        <f>IF(INDEX(Progreso!$AB$2:$AK$41,$P392,$Q392)=0,"",INDEX(Progreso!$AB$2:$AK$41,$P392,$Q392))</f>
        <v/>
      </c>
      <c r="T392" s="26">
        <f>IF($R392=0,"",COUNTIFS($R$2:$R$401,"&gt;0",$R$2:$R$401,"&lt;"&amp;$R392)+COUNTIFS($R$2:R392,"="&amp;$R392))</f>
        <v/>
      </c>
      <c r="V392" s="26">
        <f>IFERROR(MATCH(ROW()-ROW($V$12),$T$2:$T$401,0),"")</f>
        <v/>
      </c>
    </row>
    <row r="393" ht="22.5" customHeight="1">
      <c r="A393" s="78">
        <f>IF($V393="","",INDEX($R$2:$R$401,$V393))</f>
        <v/>
      </c>
      <c r="B393" s="2">
        <f>IF($V393="","",INDEX(DIAS_SEMANA,WEEKDAY(INDEX($R$2:$R$401,$V393),2)))</f>
        <v/>
      </c>
      <c r="C393" s="2">
        <f>IF($V393="","","Tema "&amp;INDEX($P$2:$P$401,$V393))</f>
        <v/>
      </c>
      <c r="D393" s="69">
        <f>IF($V393="","",INDEX($Q$2:$Q$401,$V393))</f>
        <v/>
      </c>
      <c r="E393" s="2">
        <f>IF($V393="","",IF(INDEX($S$2:$S$401,$V393)&lt;&gt;"",INDEX($S$2:$S$401,$V393),IF(INDEX($R$2:$R$401,$V393)&lt;$B$2,"Vencida",IF(INDEX($R$2:$R$401,$V393)=$B$2,"Hoy","Programada"))))</f>
        <v/>
      </c>
      <c r="P393" s="26" t="n">
        <v>40</v>
      </c>
      <c r="Q393" s="26" t="n">
        <v>2</v>
      </c>
      <c r="R393" s="26">
        <f>INDEX(Progreso!$AZ$2:$BI$41,$P393,$Q393)</f>
        <v/>
      </c>
      <c r="S393" s="18">
        <f>IF(INDEX(Progreso!$AB$2:$AK$41,$P393,$Q393)=0,"",INDEX(Progreso!$AB$2:$AK$41,$P393,$Q393))</f>
        <v/>
      </c>
      <c r="T393" s="26">
        <f>IF($R393=0,"",COUNTIFS($R$2:$R$401,"&gt;0",$R$2:$R$401,"&lt;"&amp;$R393)+COUNTIFS($R$2:R393,"="&amp;$R393))</f>
        <v/>
      </c>
      <c r="V393" s="26">
        <f>IFERROR(MATCH(ROW()-ROW($V$12),$T$2:$T$401,0),"")</f>
        <v/>
      </c>
    </row>
    <row r="394" ht="22.5" customHeight="1">
      <c r="A394" s="85">
        <f>IF($V394="","",INDEX($R$2:$R$401,$V394))</f>
        <v/>
      </c>
      <c r="B394" s="4">
        <f>IF($V394="","",INDEX(DIAS_SEMANA,WEEKDAY(INDEX($R$2:$R$401,$V394),2)))</f>
        <v/>
      </c>
      <c r="C394" s="4">
        <f>IF($V394="","","Tema "&amp;INDEX($P$2:$P$401,$V394))</f>
        <v/>
      </c>
      <c r="D394" s="70">
        <f>IF($V394="","",INDEX($Q$2:$Q$401,$V394))</f>
        <v/>
      </c>
      <c r="E394" s="4">
        <f>IF($V394="","",IF(INDEX($S$2:$S$401,$V394)&lt;&gt;"",INDEX($S$2:$S$401,$V394),IF(INDEX($R$2:$R$401,$V394)&lt;$B$2,"Vencida",IF(INDEX($R$2:$R$401,$V394)=$B$2,"Hoy","Programada"))))</f>
        <v/>
      </c>
      <c r="P394" s="26" t="n">
        <v>40</v>
      </c>
      <c r="Q394" s="26" t="n">
        <v>3</v>
      </c>
      <c r="R394" s="26">
        <f>INDEX(Progreso!$AZ$2:$BI$41,$P394,$Q394)</f>
        <v/>
      </c>
      <c r="S394" s="18">
        <f>IF(INDEX(Progreso!$AB$2:$AK$41,$P394,$Q394)=0,"",INDEX(Progreso!$AB$2:$AK$41,$P394,$Q394))</f>
        <v/>
      </c>
      <c r="T394" s="26">
        <f>IF($R394=0,"",COUNTIFS($R$2:$R$401,"&gt;0",$R$2:$R$401,"&lt;"&amp;$R394)+COUNTIFS($R$2:R394,"="&amp;$R394))</f>
        <v/>
      </c>
      <c r="V394" s="26">
        <f>IFERROR(MATCH(ROW()-ROW($V$12),$T$2:$T$401,0),"")</f>
        <v/>
      </c>
    </row>
    <row r="395" ht="22.5" customHeight="1">
      <c r="A395" s="78">
        <f>IF($V395="","",INDEX($R$2:$R$401,$V395))</f>
        <v/>
      </c>
      <c r="B395" s="2">
        <f>IF($V395="","",INDEX(DIAS_SEMANA,WEEKDAY(INDEX($R$2:$R$401,$V395),2)))</f>
        <v/>
      </c>
      <c r="C395" s="2">
        <f>IF($V395="","","Tema "&amp;INDEX($P$2:$P$401,$V395))</f>
        <v/>
      </c>
      <c r="D395" s="69">
        <f>IF($V395="","",INDEX($Q$2:$Q$401,$V395))</f>
        <v/>
      </c>
      <c r="E395" s="2">
        <f>IF($V395="","",IF(INDEX($S$2:$S$401,$V395)&lt;&gt;"",INDEX($S$2:$S$401,$V395),IF(INDEX($R$2:$R$401,$V395)&lt;$B$2,"Vencida",IF(INDEX($R$2:$R$401,$V395)=$B$2,"Hoy","Programada"))))</f>
        <v/>
      </c>
      <c r="P395" s="26" t="n">
        <v>40</v>
      </c>
      <c r="Q395" s="26" t="n">
        <v>4</v>
      </c>
      <c r="R395" s="26">
        <f>INDEX(Progreso!$AZ$2:$BI$41,$P395,$Q395)</f>
        <v/>
      </c>
      <c r="S395" s="18">
        <f>IF(INDEX(Progreso!$AB$2:$AK$41,$P395,$Q395)=0,"",INDEX(Progreso!$AB$2:$AK$41,$P395,$Q395))</f>
        <v/>
      </c>
      <c r="T395" s="26">
        <f>IF($R395=0,"",COUNTIFS($R$2:$R$401,"&gt;0",$R$2:$R$401,"&lt;"&amp;$R395)+COUNTIFS($R$2:R395,"="&amp;$R395))</f>
        <v/>
      </c>
      <c r="V395" s="26">
        <f>IFERROR(MATCH(ROW()-ROW($V$12),$T$2:$T$401,0),"")</f>
        <v/>
      </c>
    </row>
    <row r="396" ht="22.5" customHeight="1">
      <c r="A396" s="85">
        <f>IF($V396="","",INDEX($R$2:$R$401,$V396))</f>
        <v/>
      </c>
      <c r="B396" s="4">
        <f>IF($V396="","",INDEX(DIAS_SEMANA,WEEKDAY(INDEX($R$2:$R$401,$V396),2)))</f>
        <v/>
      </c>
      <c r="C396" s="4">
        <f>IF($V396="","","Tema "&amp;INDEX($P$2:$P$401,$V396))</f>
        <v/>
      </c>
      <c r="D396" s="70">
        <f>IF($V396="","",INDEX($Q$2:$Q$401,$V396))</f>
        <v/>
      </c>
      <c r="E396" s="4">
        <f>IF($V396="","",IF(INDEX($S$2:$S$401,$V396)&lt;&gt;"",INDEX($S$2:$S$401,$V396),IF(INDEX($R$2:$R$401,$V396)&lt;$B$2,"Vencida",IF(INDEX($R$2:$R$401,$V396)=$B$2,"Hoy","Programada"))))</f>
        <v/>
      </c>
      <c r="P396" s="26" t="n">
        <v>40</v>
      </c>
      <c r="Q396" s="26" t="n">
        <v>5</v>
      </c>
      <c r="R396" s="26">
        <f>INDEX(Progreso!$AZ$2:$BI$41,$P396,$Q396)</f>
        <v/>
      </c>
      <c r="S396" s="18">
        <f>IF(INDEX(Progreso!$AB$2:$AK$41,$P396,$Q396)=0,"",INDEX(Progreso!$AB$2:$AK$41,$P396,$Q396))</f>
        <v/>
      </c>
      <c r="T396" s="26">
        <f>IF($R396=0,"",COUNTIFS($R$2:$R$401,"&gt;0",$R$2:$R$401,"&lt;"&amp;$R396)+COUNTIFS($R$2:R396,"="&amp;$R396))</f>
        <v/>
      </c>
      <c r="V396" s="26">
        <f>IFERROR(MATCH(ROW()-ROW($V$12),$T$2:$T$401,0),"")</f>
        <v/>
      </c>
    </row>
    <row r="397" ht="22.5" customHeight="1">
      <c r="A397" s="78">
        <f>IF($V397="","",INDEX($R$2:$R$401,$V397))</f>
        <v/>
      </c>
      <c r="B397" s="2">
        <f>IF($V397="","",INDEX(DIAS_SEMANA,WEEKDAY(INDEX($R$2:$R$401,$V397),2)))</f>
        <v/>
      </c>
      <c r="C397" s="2">
        <f>IF($V397="","","Tema "&amp;INDEX($P$2:$P$401,$V397))</f>
        <v/>
      </c>
      <c r="D397" s="69">
        <f>IF($V397="","",INDEX($Q$2:$Q$401,$V397))</f>
        <v/>
      </c>
      <c r="E397" s="2">
        <f>IF($V397="","",IF(INDEX($S$2:$S$401,$V397)&lt;&gt;"",INDEX($S$2:$S$401,$V397),IF(INDEX($R$2:$R$401,$V397)&lt;$B$2,"Vencida",IF(INDEX($R$2:$R$401,$V397)=$B$2,"Hoy","Programada"))))</f>
        <v/>
      </c>
      <c r="P397" s="26" t="n">
        <v>40</v>
      </c>
      <c r="Q397" s="26" t="n">
        <v>6</v>
      </c>
      <c r="R397" s="26">
        <f>INDEX(Progreso!$AZ$2:$BI$41,$P397,$Q397)</f>
        <v/>
      </c>
      <c r="S397" s="18">
        <f>IF(INDEX(Progreso!$AB$2:$AK$41,$P397,$Q397)=0,"",INDEX(Progreso!$AB$2:$AK$41,$P397,$Q397))</f>
        <v/>
      </c>
      <c r="T397" s="26">
        <f>IF($R397=0,"",COUNTIFS($R$2:$R$401,"&gt;0",$R$2:$R$401,"&lt;"&amp;$R397)+COUNTIFS($R$2:R397,"="&amp;$R397))</f>
        <v/>
      </c>
      <c r="V397" s="26">
        <f>IFERROR(MATCH(ROW()-ROW($V$12),$T$2:$T$401,0),"")</f>
        <v/>
      </c>
    </row>
    <row r="398" ht="22.5" customHeight="1">
      <c r="A398" s="85">
        <f>IF($V398="","",INDEX($R$2:$R$401,$V398))</f>
        <v/>
      </c>
      <c r="B398" s="4">
        <f>IF($V398="","",INDEX(DIAS_SEMANA,WEEKDAY(INDEX($R$2:$R$401,$V398),2)))</f>
        <v/>
      </c>
      <c r="C398" s="4">
        <f>IF($V398="","","Tema "&amp;INDEX($P$2:$P$401,$V398))</f>
        <v/>
      </c>
      <c r="D398" s="70">
        <f>IF($V398="","",INDEX($Q$2:$Q$401,$V398))</f>
        <v/>
      </c>
      <c r="E398" s="4">
        <f>IF($V398="","",IF(INDEX($S$2:$S$401,$V398)&lt;&gt;"",INDEX($S$2:$S$401,$V398),IF(INDEX($R$2:$R$401,$V398)&lt;$B$2,"Vencida",IF(INDEX($R$2:$R$401,$V398)=$B$2,"Hoy","Programada"))))</f>
        <v/>
      </c>
      <c r="P398" s="26" t="n">
        <v>40</v>
      </c>
      <c r="Q398" s="26" t="n">
        <v>7</v>
      </c>
      <c r="R398" s="26">
        <f>INDEX(Progreso!$AZ$2:$BI$41,$P398,$Q398)</f>
        <v/>
      </c>
      <c r="S398" s="18">
        <f>IF(INDEX(Progreso!$AB$2:$AK$41,$P398,$Q398)=0,"",INDEX(Progreso!$AB$2:$AK$41,$P398,$Q398))</f>
        <v/>
      </c>
      <c r="T398" s="26">
        <f>IF($R398=0,"",COUNTIFS($R$2:$R$401,"&gt;0",$R$2:$R$401,"&lt;"&amp;$R398)+COUNTIFS($R$2:R398,"="&amp;$R398))</f>
        <v/>
      </c>
      <c r="V398" s="26">
        <f>IFERROR(MATCH(ROW()-ROW($V$12),$T$2:$T$401,0),"")</f>
        <v/>
      </c>
    </row>
    <row r="399" ht="22.5" customHeight="1">
      <c r="A399" s="78">
        <f>IF($V399="","",INDEX($R$2:$R$401,$V399))</f>
        <v/>
      </c>
      <c r="B399" s="2">
        <f>IF($V399="","",INDEX(DIAS_SEMANA,WEEKDAY(INDEX($R$2:$R$401,$V399),2)))</f>
        <v/>
      </c>
      <c r="C399" s="2">
        <f>IF($V399="","","Tema "&amp;INDEX($P$2:$P$401,$V399))</f>
        <v/>
      </c>
      <c r="D399" s="69">
        <f>IF($V399="","",INDEX($Q$2:$Q$401,$V399))</f>
        <v/>
      </c>
      <c r="E399" s="2">
        <f>IF($V399="","",IF(INDEX($S$2:$S$401,$V399)&lt;&gt;"",INDEX($S$2:$S$401,$V399),IF(INDEX($R$2:$R$401,$V399)&lt;$B$2,"Vencida",IF(INDEX($R$2:$R$401,$V399)=$B$2,"Hoy","Programada"))))</f>
        <v/>
      </c>
      <c r="P399" s="26" t="n">
        <v>40</v>
      </c>
      <c r="Q399" s="26" t="n">
        <v>8</v>
      </c>
      <c r="R399" s="26">
        <f>INDEX(Progreso!$AZ$2:$BI$41,$P399,$Q399)</f>
        <v/>
      </c>
      <c r="S399" s="18">
        <f>IF(INDEX(Progreso!$AB$2:$AK$41,$P399,$Q399)=0,"",INDEX(Progreso!$AB$2:$AK$41,$P399,$Q399))</f>
        <v/>
      </c>
      <c r="T399" s="26">
        <f>IF($R399=0,"",COUNTIFS($R$2:$R$401,"&gt;0",$R$2:$R$401,"&lt;"&amp;$R399)+COUNTIFS($R$2:R399,"="&amp;$R399))</f>
        <v/>
      </c>
      <c r="V399" s="26">
        <f>IFERROR(MATCH(ROW()-ROW($V$12),$T$2:$T$401,0),"")</f>
        <v/>
      </c>
    </row>
    <row r="400" ht="22.5" customHeight="1">
      <c r="A400" s="85">
        <f>IF($V400="","",INDEX($R$2:$R$401,$V400))</f>
        <v/>
      </c>
      <c r="B400" s="4">
        <f>IF($V400="","",INDEX(DIAS_SEMANA,WEEKDAY(INDEX($R$2:$R$401,$V400),2)))</f>
        <v/>
      </c>
      <c r="C400" s="4">
        <f>IF($V400="","","Tema "&amp;INDEX($P$2:$P$401,$V400))</f>
        <v/>
      </c>
      <c r="D400" s="70">
        <f>IF($V400="","",INDEX($Q$2:$Q$401,$V400))</f>
        <v/>
      </c>
      <c r="E400" s="4">
        <f>IF($V400="","",IF(INDEX($S$2:$S$401,$V400)&lt;&gt;"",INDEX($S$2:$S$401,$V400),IF(INDEX($R$2:$R$401,$V400)&lt;$B$2,"Vencida",IF(INDEX($R$2:$R$401,$V400)=$B$2,"Hoy","Programada"))))</f>
        <v/>
      </c>
      <c r="P400" s="26" t="n">
        <v>40</v>
      </c>
      <c r="Q400" s="26" t="n">
        <v>9</v>
      </c>
      <c r="R400" s="26">
        <f>INDEX(Progreso!$AZ$2:$BI$41,$P400,$Q400)</f>
        <v/>
      </c>
      <c r="S400" s="18">
        <f>IF(INDEX(Progreso!$AB$2:$AK$41,$P400,$Q400)=0,"",INDEX(Progreso!$AB$2:$AK$41,$P400,$Q400))</f>
        <v/>
      </c>
      <c r="T400" s="26">
        <f>IF($R400=0,"",COUNTIFS($R$2:$R$401,"&gt;0",$R$2:$R$401,"&lt;"&amp;$R400)+COUNTIFS($R$2:R400,"="&amp;$R400))</f>
        <v/>
      </c>
      <c r="V400" s="26">
        <f>IFERROR(MATCH(ROW()-ROW($V$12),$T$2:$T$401,0),"")</f>
        <v/>
      </c>
    </row>
    <row r="401" ht="22.5" customHeight="1">
      <c r="A401" s="78">
        <f>IF($V401="","",INDEX($R$2:$R$401,$V401))</f>
        <v/>
      </c>
      <c r="B401" s="2">
        <f>IF($V401="","",INDEX(DIAS_SEMANA,WEEKDAY(INDEX($R$2:$R$401,$V401),2)))</f>
        <v/>
      </c>
      <c r="C401" s="2">
        <f>IF($V401="","","Tema "&amp;INDEX($P$2:$P$401,$V401))</f>
        <v/>
      </c>
      <c r="D401" s="69">
        <f>IF($V401="","",INDEX($Q$2:$Q$401,$V401))</f>
        <v/>
      </c>
      <c r="E401" s="2">
        <f>IF($V401="","",IF(INDEX($S$2:$S$401,$V401)&lt;&gt;"",INDEX($S$2:$S$401,$V401),IF(INDEX($R$2:$R$401,$V401)&lt;$B$2,"Vencida",IF(INDEX($R$2:$R$401,$V401)=$B$2,"Hoy","Programada"))))</f>
        <v/>
      </c>
      <c r="P401" s="26" t="n">
        <v>40</v>
      </c>
      <c r="Q401" s="26" t="n">
        <v>10</v>
      </c>
      <c r="R401" s="26">
        <f>INDEX(Progreso!$AZ$2:$BI$41,$P401,$Q401)</f>
        <v/>
      </c>
      <c r="S401" s="18">
        <f>IF(INDEX(Progreso!$AB$2:$AK$41,$P401,$Q401)=0,"",INDEX(Progreso!$AB$2:$AK$41,$P401,$Q401))</f>
        <v/>
      </c>
      <c r="T401" s="26">
        <f>IF($R401=0,"",COUNTIFS($R$2:$R$401,"&gt;0",$R$2:$R$401,"&lt;"&amp;$R401)+COUNTIFS($R$2:R401,"="&amp;$R401))</f>
        <v/>
      </c>
      <c r="V401" s="26">
        <f>IFERROR(MATCH(ROW()-ROW($V$12),$T$2:$T$401,0),"")</f>
        <v/>
      </c>
    </row>
    <row r="402" ht="22.5" customHeight="1">
      <c r="A402" s="85">
        <f>IF($V402="","",INDEX($R$2:$R$401,$V402))</f>
        <v/>
      </c>
      <c r="B402" s="4">
        <f>IF($V402="","",INDEX(DIAS_SEMANA,WEEKDAY(INDEX($R$2:$R$401,$V402),2)))</f>
        <v/>
      </c>
      <c r="C402" s="4">
        <f>IF($V402="","","Tema "&amp;INDEX($P$2:$P$401,$V402))</f>
        <v/>
      </c>
      <c r="D402" s="70">
        <f>IF($V402="","",INDEX($Q$2:$Q$401,$V402))</f>
        <v/>
      </c>
      <c r="E402" s="4">
        <f>IF($V402="","",IF(INDEX($S$2:$S$401,$V402)&lt;&gt;"",INDEX($S$2:$S$401,$V402),IF(INDEX($R$2:$R$401,$V402)&lt;$B$2,"Vencida",IF(INDEX($R$2:$R$401,$V402)=$B$2,"Hoy","Programada"))))</f>
        <v/>
      </c>
      <c r="V402" s="26">
        <f>IFERROR(MATCH(ROW()-ROW($V$12),$T$2:$T$401,0),"")</f>
        <v/>
      </c>
    </row>
    <row r="403" ht="22.5" customHeight="1">
      <c r="A403" s="78">
        <f>IF($V403="","",INDEX($R$2:$R$401,$V403))</f>
        <v/>
      </c>
      <c r="B403" s="2">
        <f>IF($V403="","",INDEX(DIAS_SEMANA,WEEKDAY(INDEX($R$2:$R$401,$V403),2)))</f>
        <v/>
      </c>
      <c r="C403" s="2">
        <f>IF($V403="","","Tema "&amp;INDEX($P$2:$P$401,$V403))</f>
        <v/>
      </c>
      <c r="D403" s="69">
        <f>IF($V403="","",INDEX($Q$2:$Q$401,$V403))</f>
        <v/>
      </c>
      <c r="E403" s="2">
        <f>IF($V403="","",IF(INDEX($S$2:$S$401,$V403)&lt;&gt;"",INDEX($S$2:$S$401,$V403),IF(INDEX($R$2:$R$401,$V403)&lt;$B$2,"Vencida",IF(INDEX($R$2:$R$401,$V403)=$B$2,"Hoy","Programada"))))</f>
        <v/>
      </c>
      <c r="V403" s="26">
        <f>IFERROR(MATCH(ROW()-ROW($V$12),$T$2:$T$401,0),"")</f>
        <v/>
      </c>
    </row>
    <row r="404" ht="22.5" customHeight="1">
      <c r="A404" s="85">
        <f>IF($V404="","",INDEX($R$2:$R$401,$V404))</f>
        <v/>
      </c>
      <c r="B404" s="4">
        <f>IF($V404="","",INDEX(DIAS_SEMANA,WEEKDAY(INDEX($R$2:$R$401,$V404),2)))</f>
        <v/>
      </c>
      <c r="C404" s="4">
        <f>IF($V404="","","Tema "&amp;INDEX($P$2:$P$401,$V404))</f>
        <v/>
      </c>
      <c r="D404" s="70">
        <f>IF($V404="","",INDEX($Q$2:$Q$401,$V404))</f>
        <v/>
      </c>
      <c r="E404" s="4">
        <f>IF($V404="","",IF(INDEX($S$2:$S$401,$V404)&lt;&gt;"",INDEX($S$2:$S$401,$V404),IF(INDEX($R$2:$R$401,$V404)&lt;$B$2,"Vencida",IF(INDEX($R$2:$R$401,$V404)=$B$2,"Hoy","Programada"))))</f>
        <v/>
      </c>
      <c r="V404" s="26">
        <f>IFERROR(MATCH(ROW()-ROW($V$12),$T$2:$T$401,0),"")</f>
        <v/>
      </c>
    </row>
    <row r="405" ht="22.5" customHeight="1">
      <c r="A405" s="78">
        <f>IF($V405="","",INDEX($R$2:$R$401,$V405))</f>
        <v/>
      </c>
      <c r="B405" s="2">
        <f>IF($V405="","",INDEX(DIAS_SEMANA,WEEKDAY(INDEX($R$2:$R$401,$V405),2)))</f>
        <v/>
      </c>
      <c r="C405" s="2">
        <f>IF($V405="","","Tema "&amp;INDEX($P$2:$P$401,$V405))</f>
        <v/>
      </c>
      <c r="D405" s="69">
        <f>IF($V405="","",INDEX($Q$2:$Q$401,$V405))</f>
        <v/>
      </c>
      <c r="E405" s="2">
        <f>IF($V405="","",IF(INDEX($S$2:$S$401,$V405)&lt;&gt;"",INDEX($S$2:$S$401,$V405),IF(INDEX($R$2:$R$401,$V405)&lt;$B$2,"Vencida",IF(INDEX($R$2:$R$401,$V405)=$B$2,"Hoy","Programada"))))</f>
        <v/>
      </c>
      <c r="V405" s="26">
        <f>IFERROR(MATCH(ROW()-ROW($V$12),$T$2:$T$401,0),"")</f>
        <v/>
      </c>
    </row>
    <row r="406" ht="22.5" customHeight="1">
      <c r="A406" s="85">
        <f>IF($V406="","",INDEX($R$2:$R$401,$V406))</f>
        <v/>
      </c>
      <c r="B406" s="4">
        <f>IF($V406="","",INDEX(DIAS_SEMANA,WEEKDAY(INDEX($R$2:$R$401,$V406),2)))</f>
        <v/>
      </c>
      <c r="C406" s="4">
        <f>IF($V406="","","Tema "&amp;INDEX($P$2:$P$401,$V406))</f>
        <v/>
      </c>
      <c r="D406" s="70">
        <f>IF($V406="","",INDEX($Q$2:$Q$401,$V406))</f>
        <v/>
      </c>
      <c r="E406" s="4">
        <f>IF($V406="","",IF(INDEX($S$2:$S$401,$V406)&lt;&gt;"",INDEX($S$2:$S$401,$V406),IF(INDEX($R$2:$R$401,$V406)&lt;$B$2,"Vencida",IF(INDEX($R$2:$R$401,$V406)=$B$2,"Hoy","Programada"))))</f>
        <v/>
      </c>
      <c r="V406" s="26">
        <f>IFERROR(MATCH(ROW()-ROW($V$12),$T$2:$T$401,0),"")</f>
        <v/>
      </c>
    </row>
    <row r="407" ht="22.5" customHeight="1">
      <c r="A407" s="78">
        <f>IF($V407="","",INDEX($R$2:$R$401,$V407))</f>
        <v/>
      </c>
      <c r="B407" s="2">
        <f>IF($V407="","",INDEX(DIAS_SEMANA,WEEKDAY(INDEX($R$2:$R$401,$V407),2)))</f>
        <v/>
      </c>
      <c r="C407" s="2">
        <f>IF($V407="","","Tema "&amp;INDEX($P$2:$P$401,$V407))</f>
        <v/>
      </c>
      <c r="D407" s="69">
        <f>IF($V407="","",INDEX($Q$2:$Q$401,$V407))</f>
        <v/>
      </c>
      <c r="E407" s="2">
        <f>IF($V407="","",IF(INDEX($S$2:$S$401,$V407)&lt;&gt;"",INDEX($S$2:$S$401,$V407),IF(INDEX($R$2:$R$401,$V407)&lt;$B$2,"Vencida",IF(INDEX($R$2:$R$401,$V407)=$B$2,"Hoy","Programada"))))</f>
        <v/>
      </c>
      <c r="V407" s="26">
        <f>IFERROR(MATCH(ROW()-ROW($V$12),$T$2:$T$401,0),"")</f>
        <v/>
      </c>
    </row>
    <row r="408" ht="22.5" customHeight="1">
      <c r="A408" s="85">
        <f>IF($V408="","",INDEX($R$2:$R$401,$V408))</f>
        <v/>
      </c>
      <c r="B408" s="4">
        <f>IF($V408="","",INDEX(DIAS_SEMANA,WEEKDAY(INDEX($R$2:$R$401,$V408),2)))</f>
        <v/>
      </c>
      <c r="C408" s="4">
        <f>IF($V408="","","Tema "&amp;INDEX($P$2:$P$401,$V408))</f>
        <v/>
      </c>
      <c r="D408" s="70">
        <f>IF($V408="","",INDEX($Q$2:$Q$401,$V408))</f>
        <v/>
      </c>
      <c r="E408" s="4">
        <f>IF($V408="","",IF(INDEX($S$2:$S$401,$V408)&lt;&gt;"",INDEX($S$2:$S$401,$V408),IF(INDEX($R$2:$R$401,$V408)&lt;$B$2,"Vencida",IF(INDEX($R$2:$R$401,$V408)=$B$2,"Hoy","Programada"))))</f>
        <v/>
      </c>
      <c r="V408" s="26">
        <f>IFERROR(MATCH(ROW()-ROW($V$12),$T$2:$T$401,0),"")</f>
        <v/>
      </c>
    </row>
    <row r="409" ht="22.5" customHeight="1">
      <c r="A409" s="78">
        <f>IF($V409="","",INDEX($R$2:$R$401,$V409))</f>
        <v/>
      </c>
      <c r="B409" s="2">
        <f>IF($V409="","",INDEX(DIAS_SEMANA,WEEKDAY(INDEX($R$2:$R$401,$V409),2)))</f>
        <v/>
      </c>
      <c r="C409" s="2">
        <f>IF($V409="","","Tema "&amp;INDEX($P$2:$P$401,$V409))</f>
        <v/>
      </c>
      <c r="D409" s="69">
        <f>IF($V409="","",INDEX($Q$2:$Q$401,$V409))</f>
        <v/>
      </c>
      <c r="E409" s="2">
        <f>IF($V409="","",IF(INDEX($S$2:$S$401,$V409)&lt;&gt;"",INDEX($S$2:$S$401,$V409),IF(INDEX($R$2:$R$401,$V409)&lt;$B$2,"Vencida",IF(INDEX($R$2:$R$401,$V409)=$B$2,"Hoy","Programada"))))</f>
        <v/>
      </c>
      <c r="V409" s="26">
        <f>IFERROR(MATCH(ROW()-ROW($V$12),$T$2:$T$401,0),"")</f>
        <v/>
      </c>
    </row>
    <row r="410" ht="22.5" customHeight="1">
      <c r="A410" s="85">
        <f>IF($V410="","",INDEX($R$2:$R$401,$V410))</f>
        <v/>
      </c>
      <c r="B410" s="4">
        <f>IF($V410="","",INDEX(DIAS_SEMANA,WEEKDAY(INDEX($R$2:$R$401,$V410),2)))</f>
        <v/>
      </c>
      <c r="C410" s="4">
        <f>IF($V410="","","Tema "&amp;INDEX($P$2:$P$401,$V410))</f>
        <v/>
      </c>
      <c r="D410" s="70">
        <f>IF($V410="","",INDEX($Q$2:$Q$401,$V410))</f>
        <v/>
      </c>
      <c r="E410" s="4">
        <f>IF($V410="","",IF(INDEX($S$2:$S$401,$V410)&lt;&gt;"",INDEX($S$2:$S$401,$V410),IF(INDEX($R$2:$R$401,$V410)&lt;$B$2,"Vencida",IF(INDEX($R$2:$R$401,$V410)=$B$2,"Hoy","Programada"))))</f>
        <v/>
      </c>
      <c r="V410" s="26">
        <f>IFERROR(MATCH(ROW()-ROW($V$12),$T$2:$T$401,0),"")</f>
        <v/>
      </c>
    </row>
    <row r="411" ht="22.5" customHeight="1">
      <c r="A411" s="78">
        <f>IF($V411="","",INDEX($R$2:$R$401,$V411))</f>
        <v/>
      </c>
      <c r="B411" s="2">
        <f>IF($V411="","",INDEX(DIAS_SEMANA,WEEKDAY(INDEX($R$2:$R$401,$V411),2)))</f>
        <v/>
      </c>
      <c r="C411" s="2">
        <f>IF($V411="","","Tema "&amp;INDEX($P$2:$P$401,$V411))</f>
        <v/>
      </c>
      <c r="D411" s="69">
        <f>IF($V411="","",INDEX($Q$2:$Q$401,$V411))</f>
        <v/>
      </c>
      <c r="E411" s="2">
        <f>IF($V411="","",IF(INDEX($S$2:$S$401,$V411)&lt;&gt;"",INDEX($S$2:$S$401,$V411),IF(INDEX($R$2:$R$401,$V411)&lt;$B$2,"Vencida",IF(INDEX($R$2:$R$401,$V411)=$B$2,"Hoy","Programada"))))</f>
        <v/>
      </c>
      <c r="V411" s="26">
        <f>IFERROR(MATCH(ROW()-ROW($V$12),$T$2:$T$401,0),"")</f>
        <v/>
      </c>
    </row>
    <row r="412" ht="22.5" customHeight="1">
      <c r="A412" s="85">
        <f>IF($V412="","",INDEX($R$2:$R$401,$V412))</f>
        <v/>
      </c>
      <c r="B412" s="4">
        <f>IF($V412="","",INDEX(DIAS_SEMANA,WEEKDAY(INDEX($R$2:$R$401,$V412),2)))</f>
        <v/>
      </c>
      <c r="C412" s="4">
        <f>IF($V412="","","Tema "&amp;INDEX($P$2:$P$401,$V412))</f>
        <v/>
      </c>
      <c r="D412" s="70">
        <f>IF($V412="","",INDEX($Q$2:$Q$401,$V412))</f>
        <v/>
      </c>
      <c r="E412" s="4">
        <f>IF($V412="","",IF(INDEX($S$2:$S$401,$V412)&lt;&gt;"",INDEX($S$2:$S$401,$V412),IF(INDEX($R$2:$R$401,$V412)&lt;$B$2,"Vencida",IF(INDEX($R$2:$R$401,$V412)=$B$2,"Hoy","Programada"))))</f>
        <v/>
      </c>
      <c r="V412" s="26">
        <f>IFERROR(MATCH(ROW()-ROW($V$12),$T$2:$T$401,0),"")</f>
        <v/>
      </c>
    </row>
  </sheetData>
  <conditionalFormatting sqref="B4">
    <cfRule type="cellIs" priority="1" operator="greaterThan" dxfId="3">
      <formula>0</formula>
    </cfRule>
  </conditionalFormatting>
  <conditionalFormatting sqref="B3">
    <cfRule type="cellIs" priority="2" operator="greaterThan" dxfId="4">
      <formula>0</formula>
    </cfRule>
  </conditionalFormatting>
  <conditionalFormatting sqref="G5:M10">
    <cfRule type="expression" priority="3" dxfId="5" stopIfTrue="1">
      <formula>AND(G5&lt;&gt;"",COUNTIF(Progreso!$B$2:$K$41,G5)&gt;=3)</formula>
    </cfRule>
    <cfRule type="expression" priority="4" dxfId="6" stopIfTrue="1">
      <formula>AND(G5&lt;&gt;"",COUNTIF(Progreso!$B$2:$K$41,G5)&gt;=1)</formula>
    </cfRule>
  </conditionalFormatting>
  <conditionalFormatting sqref="E13:E412">
    <cfRule type="expression" priority="5" dxfId="3">
      <formula>$E13="Vencida"</formula>
    </cfRule>
    <cfRule type="expression" priority="6" dxfId="4">
      <formula>$E13="Hoy"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.75"/>
  <cols>
    <col width="38.3" customWidth="1" min="1" max="1"/>
    <col width="26.7" customWidth="1" min="2" max="2"/>
    <col width="93.59999999999999" customWidth="1" min="3" max="3"/>
  </cols>
  <sheetData>
    <row r="1" ht="22.5" customHeight="1">
      <c r="A1" s="1" t="inlineStr">
        <is>
          <t>Preguntas</t>
        </is>
      </c>
      <c r="B1" s="1" t="inlineStr">
        <is>
          <t>Tipo de información</t>
        </is>
      </c>
      <c r="C1" s="1" t="inlineStr">
        <is>
          <t>Respuesta</t>
        </is>
      </c>
    </row>
    <row r="2" ht="22.5" customHeight="1">
      <c r="A2" s="71" t="inlineStr">
        <is>
          <t>Tema 1 - Descartes y 1ª Meditación</t>
        </is>
      </c>
      <c r="B2" s="2" t="n"/>
      <c r="C2" s="2" t="n"/>
    </row>
    <row r="3" ht="22.5" customHeight="1">
      <c r="A3" s="4" t="inlineStr">
        <is>
          <t>Nacimiento?</t>
        </is>
      </c>
      <c r="B3" s="4" t="inlineStr">
        <is>
          <t>Referencia</t>
        </is>
      </c>
      <c r="C3" s="4" t="inlineStr">
        <is>
          <t>1596 La Haye</t>
        </is>
      </c>
    </row>
    <row r="4" ht="51.75" customHeight="1">
      <c r="A4" s="2" t="inlineStr">
        <is>
          <t>Pregunta 2</t>
        </is>
      </c>
      <c r="B4" s="2" t="inlineStr">
        <is>
          <t>Analogía</t>
        </is>
      </c>
      <c r="C4" s="72" t="inlineStr">
        <is>
          <t>1619: Alemania, contacto con nuevo sistema científico y matemático;
1628: "Reglas para la dirección de la mente"
1637: "Discurso del método"
1641: "Meditaciones de la primera filosofía" + "Objeciones y respuestas"</t>
        </is>
      </c>
    </row>
    <row r="5" ht="22.5" customHeight="1">
      <c r="A5" s="4" t="inlineStr">
        <is>
          <t>Pregunta 3</t>
        </is>
      </c>
      <c r="B5" s="4" t="inlineStr">
        <is>
          <t>Evidencia</t>
        </is>
      </c>
      <c r="C5" s="4" t="n"/>
    </row>
    <row r="6" ht="22.5" customHeight="1">
      <c r="A6" s="2" t="n"/>
      <c r="B6" s="2" t="inlineStr">
        <is>
          <t>Referencia</t>
        </is>
      </c>
      <c r="C6" s="2" t="n"/>
    </row>
    <row r="7" ht="22.5" customHeight="1">
      <c r="A7" s="4" t="n"/>
      <c r="B7" s="4" t="n"/>
      <c r="C7" s="4" t="n"/>
    </row>
    <row r="8" ht="22.5" customHeight="1">
      <c r="A8" s="2" t="n"/>
      <c r="B8" s="2" t="n"/>
      <c r="C8" s="2" t="n"/>
    </row>
    <row r="9" ht="22.5" customHeight="1">
      <c r="A9" s="4" t="n"/>
      <c r="B9" s="4" t="n"/>
      <c r="C9" s="4" t="n"/>
    </row>
    <row r="10" ht="22.5" customHeight="1">
      <c r="A10" s="2" t="n"/>
      <c r="B10" s="2" t="n"/>
      <c r="C10" s="2" t="n"/>
    </row>
    <row r="11" ht="22.5" customHeight="1">
      <c r="A11" s="4" t="n"/>
      <c r="B11" s="4" t="n"/>
      <c r="C11" s="4" t="n"/>
    </row>
    <row r="12" ht="22.5" customHeight="1">
      <c r="A12" s="2" t="n"/>
      <c r="B12" s="2" t="n"/>
      <c r="C12" s="2" t="n"/>
    </row>
    <row r="13" ht="22.5" customHeight="1">
      <c r="A13" s="4" t="n"/>
      <c r="B13" s="4" t="n"/>
      <c r="C13" s="4" t="n"/>
    </row>
    <row r="14" ht="22.5" customHeight="1">
      <c r="A14" s="2" t="n"/>
      <c r="B14" s="2" t="n"/>
      <c r="C14" s="2" t="n"/>
    </row>
    <row r="15" ht="22.5" customHeight="1">
      <c r="A15" s="4" t="n"/>
      <c r="B15" s="4" t="n"/>
      <c r="C15" s="4" t="n"/>
    </row>
    <row r="16" ht="22.5" customHeight="1">
      <c r="A16" s="2" t="n"/>
      <c r="B16" s="2" t="n"/>
      <c r="C16" s="2" t="n"/>
    </row>
    <row r="17" ht="22.5" customHeight="1">
      <c r="A17" s="4" t="n"/>
      <c r="B17" s="4" t="n"/>
      <c r="C17" s="4" t="n"/>
    </row>
    <row r="18" ht="22.5" customHeight="1">
      <c r="A18" s="2" t="n"/>
      <c r="B18" s="2" t="n"/>
      <c r="C18" s="2" t="n"/>
    </row>
    <row r="19" ht="22.5" customHeight="1">
      <c r="A19" s="4" t="n"/>
      <c r="B19" s="4" t="n"/>
      <c r="C19" s="4" t="n"/>
    </row>
    <row r="20" ht="22.5" customHeight="1">
      <c r="A20" s="2" t="n"/>
      <c r="B20" s="2" t="n"/>
      <c r="C20" s="2" t="n"/>
    </row>
    <row r="21" ht="22.5" customHeight="1">
      <c r="A21" s="4" t="n"/>
      <c r="B21" s="4" t="n"/>
      <c r="C21" s="4" t="n"/>
    </row>
  </sheetData>
  <conditionalFormatting sqref="B2:B21">
    <cfRule type="expression" priority="1" dxfId="7" stopIfTrue="1">
      <formula>$B2="Referencia"</formula>
    </cfRule>
    <cfRule type="expression" priority="2" dxfId="8" stopIfTrue="1">
      <formula>$B2="Analogía"</formula>
    </cfRule>
    <cfRule type="expression" priority="3" dxfId="9" stopIfTrue="1">
      <formula>$B2="Evidencia"</formula>
    </cfRule>
    <cfRule type="expression" priority="4" dxfId="10" stopIfTrue="1">
      <formula>$B2=""</formula>
    </cfRule>
  </conditionalFormatting>
  <dataValidations count="1">
    <dataValidation sqref="B2:B21" showDropDown="0" showInputMessage="0" showErrorMessage="1" allowBlank="1" errorTitle="Valor no permitido" error="Elige una de las tres opciones: Referencia, Analogía o Evidencia." promptTitle="Tipo de información" prompt="Referencia, Analogía o Evidencia." type="list">
      <formula1>"Referencia,Analogía,Evidencia"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ATENEO — build/construir.py</dc:creator>
  <dc:title>Ejemplo Planificador Oposición</dc:title>
  <dcterms:created xsi:type="dcterms:W3CDTF">2026-01-01T00:00:00Z</dcterms:created>
  <dcterms:modified xsi:type="dcterms:W3CDTF">2026-08-29T02:56:00Z</dcterms:modified>
  <cp:lastModifiedBy>Proyecto ATENEO — build/construir.py</cp:lastModifiedBy>
</cp:coreProperties>
</file>